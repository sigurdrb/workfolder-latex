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and PLC (D3) require operator Reset.</t>
        </is>
      </c>
      <c r="G7" s="2" t="inlineStr">
        <is>
          <t>FD Tabell 5; Framo spec rev B state diagram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Open</t>
        </is>
      </c>
      <c r="M9" s="2" t="inlineStr">
        <is>
          <t>2026-10-21</t>
        </is>
      </c>
      <c r="N9" s="2" t="inlineStr"/>
      <c r="O9" s="2" t="inlineStr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Open</t>
        </is>
      </c>
      <c r="M11" s="2" t="inlineStr">
        <is>
          <t>2026-10-21</t>
        </is>
      </c>
      <c r="N11" s="2" t="inlineStr"/>
      <c r="O11" s="2" t="inlineStr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Open</t>
        </is>
      </c>
      <c r="M13" s="2" t="inlineStr">
        <is>
          <t>2026-10-21</t>
        </is>
      </c>
      <c r="N13" s="2" t="inlineStr"/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Open</t>
        </is>
      </c>
      <c r="M19" s="2" t="inlineStr">
        <is>
          <t>2026-10-21</t>
        </is>
      </c>
      <c r="N19" s="2" t="inlineStr"/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Open</t>
        </is>
      </c>
      <c r="M22" s="2" t="inlineStr">
        <is>
          <t>2026-10-21</t>
        </is>
      </c>
      <c r="N22" s="2" t="inlineStr"/>
      <c r="O22" s="2" t="inlineStr"/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Open</t>
        </is>
      </c>
      <c r="M23" s="2" t="inlineStr">
        <is>
          <t>2026-10-21</t>
        </is>
      </c>
      <c r="N23" s="2" t="inlineStr"/>
      <c r="O23" s="2" t="inlineStr"/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Decision</t>
        </is>
      </c>
      <c r="E27" s="2" t="inlineStr">
        <is>
          <t>Restart after power failure</t>
        </is>
      </c>
      <c r="F27" s="2" t="inlineStr">
        <is>
          <t>No auto-restart or staggered start; Pen Start starts all pumps at once.</t>
        </is>
      </c>
      <c r="G27" s="2" t="inlineStr">
        <is>
          <t>CAS FD Inlet OI16</t>
        </is>
      </c>
      <c r="H27" s="2" t="inlineStr">
        <is>
          <t>Auto-restart / staggered start / manual only</t>
        </is>
      </c>
      <c r="I27" s="2" t="inlineStr">
        <is>
          <t>Internal</t>
        </is>
      </c>
      <c r="J27" s="2" t="inlineStr">
        <is>
          <t>Project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OX-01</t>
        </is>
      </c>
      <c r="B31" s="2" t="inlineStr">
        <is>
          <t>Oxygen</t>
        </is>
      </c>
      <c r="C31" s="2" t="inlineStr">
        <is>
          <t>Physical</t>
        </is>
      </c>
      <c r="D31" s="2" t="inlineStr">
        <is>
          <t>Decision</t>
        </is>
      </c>
      <c r="E31" s="2" t="inlineStr">
        <is>
          <t>Oxygen supplier</t>
        </is>
      </c>
      <c r="F31" s="2" t="inlineStr">
        <is>
          <t>Supplier for oxygen chosen.</t>
        </is>
      </c>
      <c r="G31" s="2" t="inlineStr">
        <is>
          <t>Project meeting 2026-10-21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High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Normex</t>
        </is>
      </c>
      <c r="O31" s="2" t="inlineStr">
        <is>
          <t>2026-10-21</t>
        </is>
      </c>
    </row>
    <row r="32">
      <c r="A32" s="2" t="inlineStr">
        <is>
          <t>OX-02</t>
        </is>
      </c>
      <c r="B32" s="2" t="inlineStr">
        <is>
          <t>Oxygen</t>
        </is>
      </c>
      <c r="C32" s="2" t="inlineStr">
        <is>
          <t>Physical</t>
        </is>
      </c>
      <c r="D32" s="2" t="inlineStr">
        <is>
          <t>Missing info</t>
        </is>
      </c>
      <c r="E32" s="2" t="inlineStr">
        <is>
          <t>Oxygen supply and safety interface (Normex)</t>
        </is>
      </c>
      <c r="F32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2" s="2" t="inlineStr">
        <is>
          <t>HAZID oksygen; PenControl O2InjectionPressureSensor</t>
        </is>
      </c>
      <c r="H32" s="2" t="inlineStr"/>
      <c r="I32" s="2" t="inlineStr">
        <is>
          <t>Normex</t>
        </is>
      </c>
      <c r="J32" s="2" t="inlineStr">
        <is>
          <t>Sigurd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OX-03</t>
        </is>
      </c>
      <c r="B33" s="2" t="inlineStr">
        <is>
          <t>Oxygen</t>
        </is>
      </c>
      <c r="C33" s="2" t="inlineStr">
        <is>
          <t>Both</t>
        </is>
      </c>
      <c r="D33" s="2" t="inlineStr">
        <is>
          <t>Inconsistency</t>
        </is>
      </c>
      <c r="E33" s="2" t="inlineStr">
        <is>
          <t>O2 control valve type</t>
        </is>
      </c>
      <c r="F33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3" s="2" t="inlineStr">
        <is>
          <t>FD §3.2.4; FB.OxySystem.OxyControl</t>
        </is>
      </c>
      <c r="H33" s="2" t="inlineStr"/>
      <c r="I33" s="2" t="inlineStr">
        <is>
          <t>Normex</t>
        </is>
      </c>
      <c r="J33" s="2" t="inlineStr">
        <is>
          <t>Sigurd</t>
        </is>
      </c>
      <c r="K33" s="2" t="inlineStr">
        <is>
          <t>High</t>
        </is>
      </c>
      <c r="L33" s="2" t="inlineStr">
        <is>
          <t>Open</t>
        </is>
      </c>
      <c r="M33" s="2" t="inlineStr">
        <is>
          <t>2026-10-21</t>
        </is>
      </c>
      <c r="N33" s="2" t="inlineStr"/>
      <c r="O33" s="2" t="inlineStr"/>
    </row>
    <row r="34">
      <c r="A34" s="2" t="inlineStr">
        <is>
          <t>OX-04</t>
        </is>
      </c>
      <c r="B34" s="2" t="inlineStr">
        <is>
          <t>Oxygen</t>
        </is>
      </c>
      <c r="C34" s="2" t="inlineStr">
        <is>
          <t>Both</t>
        </is>
      </c>
      <c r="D34" s="2" t="inlineStr">
        <is>
          <t>Missing info</t>
        </is>
      </c>
      <c r="E34" s="2" t="inlineStr">
        <is>
          <t>O2 flow meter</t>
        </is>
      </c>
      <c r="F34" s="2" t="inlineStr">
        <is>
          <t>Unit (kg/h or Nl/min), range and signal type. PLC and FIC work in kg/h; FD FIC in l/min.</t>
        </is>
      </c>
      <c r="G34" s="2" t="inlineStr">
        <is>
          <t>FD Tabell 14; ConfigValues</t>
        </is>
      </c>
      <c r="H34" s="2" t="inlineStr"/>
      <c r="I34" s="2" t="inlineStr">
        <is>
          <t>Normex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Open</t>
        </is>
      </c>
      <c r="M34" s="2" t="inlineStr">
        <is>
          <t>2026-10-21</t>
        </is>
      </c>
      <c r="N34" s="2" t="inlineStr"/>
      <c r="O34" s="2" t="inlineStr"/>
    </row>
    <row r="35">
      <c r="A35" s="2" t="inlineStr">
        <is>
          <t>OX-05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Missing info</t>
        </is>
      </c>
      <c r="E35" s="2" t="inlineStr">
        <is>
          <t>Injector model and gas ratio</t>
        </is>
      </c>
      <c r="F35" s="2" t="inlineStr">
        <is>
          <t>FlowMax 104.2 kg/h = Chucaotech at 15 % v/v; same model 34.7 kg/h at 5 %. Confirm model, allowed ratio, valve and flow meter range.</t>
        </is>
      </c>
      <c r="G35" s="2" t="inlineStr">
        <is>
          <t>Oppsett innløsere CT.xlsx; ConfigValues OxySystemConfig</t>
        </is>
      </c>
      <c r="H35" s="2" t="inlineStr"/>
      <c r="I35" s="2" t="inlineStr">
        <is>
          <t>Normex / Chucaotech</t>
        </is>
      </c>
      <c r="J35" s="2" t="inlineStr">
        <is>
          <t>Sigurd</t>
        </is>
      </c>
      <c r="K35" s="2" t="inlineStr">
        <is>
          <t>Medium</t>
        </is>
      </c>
      <c r="L35" s="2" t="inlineStr">
        <is>
          <t>Open</t>
        </is>
      </c>
      <c r="M35" s="2" t="inlineStr">
        <is>
          <t>2026-10-21</t>
        </is>
      </c>
      <c r="N35" s="2" t="inlineStr"/>
      <c r="O35" s="2" t="inlineStr"/>
    </row>
    <row r="36">
      <c r="A36" s="2" t="inlineStr">
        <is>
          <t>OX-06</t>
        </is>
      </c>
      <c r="B36" s="2" t="inlineStr">
        <is>
          <t>Oxygen</t>
        </is>
      </c>
      <c r="C36" s="2" t="inlineStr">
        <is>
          <t>Software</t>
        </is>
      </c>
      <c r="D36" s="2" t="inlineStr">
        <is>
          <t>PLC gap</t>
        </is>
      </c>
      <c r="E36" s="2" t="inlineStr">
        <is>
          <t>High-high O2 / supersaturation shut-off</t>
        </is>
      </c>
      <c r="F36" s="2" t="inlineStr">
        <is>
          <t>FD (HOLD) asks oxygenation to close on high-high O2 near the inlet. No HH or TDGP shut-off in OxyControl/InletSupervisor.</t>
        </is>
      </c>
      <c r="G36" s="2" t="inlineStr">
        <is>
          <t>FD §3.2.4</t>
        </is>
      </c>
      <c r="H36" s="2" t="inlineStr">
        <is>
          <t>Decide limits, sensors, latching</t>
        </is>
      </c>
      <c r="I36" s="2" t="inlineStr">
        <is>
          <t>Internal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OX-07</t>
        </is>
      </c>
      <c r="B37" s="2" t="inlineStr">
        <is>
          <t>Oxygen</t>
        </is>
      </c>
      <c r="C37" s="2" t="inlineStr">
        <is>
          <t>Software</t>
        </is>
      </c>
      <c r="D37" s="2" t="inlineStr">
        <is>
          <t>Decision</t>
        </is>
      </c>
      <c r="E37" s="2" t="inlineStr">
        <is>
          <t>O2 setpoint and unit</t>
        </is>
      </c>
      <c r="F37" s="2" t="inlineStr">
        <is>
          <t>8.0 mg/L is a placeholder. FD asks '% or g/l?'. Sizing sheet uses % saturation (≥80 %, 90 % at 16 °C).</t>
        </is>
      </c>
      <c r="G37" s="2" t="inlineStr">
        <is>
          <t>FD §3.2.4; Beregningsark dimensjonering 17mars26.xlsx</t>
        </is>
      </c>
      <c r="H37" s="2" t="inlineStr">
        <is>
          <t>mg/L vs % saturation (with temperature/salinity)</t>
        </is>
      </c>
      <c r="I37" s="2" t="inlineStr">
        <is>
          <t>Customer / biologist</t>
        </is>
      </c>
      <c r="J37" s="2" t="inlineStr">
        <is>
          <t>Project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OX-08</t>
        </is>
      </c>
      <c r="B38" s="2" t="inlineStr">
        <is>
          <t>Oxygen</t>
        </is>
      </c>
      <c r="C38" s="2" t="inlineStr">
        <is>
          <t>Software</t>
        </is>
      </c>
      <c r="D38" s="2" t="inlineStr">
        <is>
          <t>Decision</t>
        </is>
      </c>
      <c r="E38" s="2" t="inlineStr">
        <is>
          <t>Loss of pen O2 measurement</t>
        </is>
      </c>
      <c r="F38" s="2" t="inlineStr">
        <is>
          <t>OIC01 holds its output indefinitely. FD sentence unfinished ('skal regulatoren…').</t>
        </is>
      </c>
      <c r="G38" s="2" t="inlineStr">
        <is>
          <t>FD §3.2.4; FB.Inlet.InletSupervisor</t>
        </is>
      </c>
      <c r="H38" s="2" t="inlineStr">
        <is>
          <t>Hold / fixed fallback flow / hold for limited time then alarm</t>
        </is>
      </c>
      <c r="I38" s="2" t="inlineStr">
        <is>
          <t>Internal</t>
        </is>
      </c>
      <c r="J38" s="2" t="inlineStr">
        <is>
          <t>Project</t>
        </is>
      </c>
      <c r="K38" s="2" t="inlineStr">
        <is>
          <t>High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OX-09</t>
        </is>
      </c>
      <c r="B39" s="2" t="inlineStr">
        <is>
          <t>Oxygen</t>
        </is>
      </c>
      <c r="C39" s="2" t="inlineStr">
        <is>
          <t>Software</t>
        </is>
      </c>
      <c r="D39" s="2" t="inlineStr">
        <is>
          <t>Decision</t>
        </is>
      </c>
      <c r="E39" s="2" t="inlineStr">
        <is>
          <t>Loss of line flow measurement</t>
        </is>
      </c>
      <c r="F39" s="2" t="inlineStr">
        <is>
          <t>Line leaves auto and holds its last valve position open-loop.</t>
        </is>
      </c>
      <c r="G39" s="2" t="inlineStr">
        <is>
          <t>FB.OxySystem.OxyControl</t>
        </is>
      </c>
      <c r="H39" s="2" t="inlineStr">
        <is>
          <t>Hold vs close valve</t>
        </is>
      </c>
      <c r="I39" s="2" t="inlineStr">
        <is>
          <t>Internal</t>
        </is>
      </c>
      <c r="J39" s="2" t="inlineStr">
        <is>
          <t>Project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OX-10</t>
        </is>
      </c>
      <c r="B40" s="2" t="inlineStr">
        <is>
          <t>Oxygen</t>
        </is>
      </c>
      <c r="C40" s="2" t="inlineStr">
        <is>
          <t>Both</t>
        </is>
      </c>
      <c r="D40" s="2" t="inlineStr">
        <is>
          <t>Missing info</t>
        </is>
      </c>
      <c r="E40" s="2" t="inlineStr">
        <is>
          <t>Pressure transmitters absolute or gauge</t>
        </is>
      </c>
      <c r="F40" s="2" t="inlineStr">
        <is>
          <t>PressureSetpoint 4.0 bar assumes absolute; ValveOpenPressure 3.0 must change together with it. Range assumed 0-10 bar. Chucaotech required inlet pressure needed.</t>
        </is>
      </c>
      <c r="G40" s="2" t="inlineStr">
        <is>
          <t>OxySystemConfigDUT; ConfigValues</t>
        </is>
      </c>
      <c r="H40" s="2" t="inlineStr"/>
      <c r="I40" s="2" t="inlineStr">
        <is>
          <t>Normex / Chucaotech</t>
        </is>
      </c>
      <c r="J40" s="2" t="inlineStr">
        <is>
          <t>Sigurd</t>
        </is>
      </c>
      <c r="K40" s="2" t="inlineStr">
        <is>
          <t>Medium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OX-11</t>
        </is>
      </c>
      <c r="B41" s="2" t="inlineStr">
        <is>
          <t>Oxygen</t>
        </is>
      </c>
      <c r="C41" s="2" t="inlineStr">
        <is>
          <t>Both</t>
        </is>
      </c>
      <c r="D41" s="2" t="inlineStr">
        <is>
          <t>Missing info</t>
        </is>
      </c>
      <c r="E41" s="2" t="inlineStr">
        <is>
          <t>ATV650 settings</t>
        </is>
      </c>
      <c r="F41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1" s="2" t="inlineStr">
        <is>
          <t>ATV600-Communication-parameters-EAV64332; FB.OxySystem.OxyPumpATV650</t>
        </is>
      </c>
      <c r="H41" s="2" t="inlineStr"/>
      <c r="I41" s="2" t="inlineStr">
        <is>
          <t>Internal</t>
        </is>
      </c>
      <c r="J41" s="2" t="inlineStr">
        <is>
          <t>Sigurd</t>
        </is>
      </c>
      <c r="K41" s="2" t="inlineStr">
        <is>
          <t>Medium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OX-12</t>
        </is>
      </c>
      <c r="B42" s="2" t="inlineStr">
        <is>
          <t>Oxygen</t>
        </is>
      </c>
      <c r="C42" s="2" t="inlineStr">
        <is>
          <t>Physical</t>
        </is>
      </c>
      <c r="D42" s="2" t="inlineStr">
        <is>
          <t>Missing info</t>
        </is>
      </c>
      <c r="E42" s="2" t="inlineStr">
        <is>
          <t>Ethernet to oxy pump drive cabinet</t>
        </is>
      </c>
      <c r="F42" s="2" t="inlineStr">
        <is>
          <t>Ethernet not drawn in 15169-874.004-DriveCabinet. DIN RJ45 socket (Bjørn) vs build into cabinets (JP).</t>
        </is>
      </c>
      <c r="G42" s="2" t="inlineStr">
        <is>
          <t>Mail 2026-10-16 'Drive cobinet for sideløpspumpen'</t>
        </is>
      </c>
      <c r="H42" s="2" t="inlineStr"/>
      <c r="I42" s="2" t="inlineStr">
        <is>
          <t>Internal</t>
        </is>
      </c>
      <c r="J42" s="2" t="inlineStr">
        <is>
          <t>Project</t>
        </is>
      </c>
      <c r="K42" s="2" t="inlineStr">
        <is>
          <t>Low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OX-13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PLC gap</t>
        </is>
      </c>
      <c r="E43" s="2" t="inlineStr">
        <is>
          <t>OIC01 and O2 sensor alarms</t>
        </is>
      </c>
      <c r="F43" s="2" t="inlineStr">
        <is>
          <t>FD Tabell 15: OIC01 deviation from setpoint and deviation between O2 sensors — not implemented.</t>
        </is>
      </c>
      <c r="G43" s="2" t="inlineStr">
        <is>
          <t>FD Tabell 15</t>
        </is>
      </c>
      <c r="H43" s="2" t="inlineStr"/>
      <c r="I43" s="2" t="inlineStr">
        <is>
          <t>Internal</t>
        </is>
      </c>
      <c r="J43" s="2" t="inlineStr">
        <is>
          <t>Sigurd</t>
        </is>
      </c>
      <c r="K43" s="2" t="inlineStr">
        <is>
          <t>Low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OX-14</t>
        </is>
      </c>
      <c r="B44" s="2" t="inlineStr">
        <is>
          <t>Oxygen</t>
        </is>
      </c>
      <c r="C44" s="2" t="inlineStr">
        <is>
          <t>Software</t>
        </is>
      </c>
      <c r="D44" s="2" t="inlineStr">
        <is>
          <t>Inconsistency</t>
        </is>
      </c>
      <c r="E44" s="2" t="inlineStr">
        <is>
          <t>Controller units vs FD</t>
        </is>
      </c>
      <c r="F44" s="2" t="inlineStr">
        <is>
          <t>FD: OIC01 0-100 %, three parameter sets; FIC in l/min. PLC: OIC01 total kg/h shared over lines, one set (Kp 50, Ti 1800). Deliberate — add to FD deviation list.</t>
        </is>
      </c>
      <c r="G44" s="2" t="inlineStr">
        <is>
          <t>FD Tabell 13/14; FB.Inlet.InletSupervisor</t>
        </is>
      </c>
      <c r="H44" s="2" t="inlineStr"/>
      <c r="I44" s="2" t="inlineStr">
        <is>
          <t>Internal</t>
        </is>
      </c>
      <c r="J44" s="2" t="inlineStr">
        <is>
          <t>Sigurd</t>
        </is>
      </c>
      <c r="K44" s="2" t="inlineStr">
        <is>
          <t>Low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OX-15</t>
        </is>
      </c>
      <c r="B45" s="2" t="inlineStr">
        <is>
          <t>Oxygen</t>
        </is>
      </c>
      <c r="C45" s="2" t="inlineStr">
        <is>
          <t>Physical</t>
        </is>
      </c>
      <c r="D45" s="2" t="inlineStr">
        <is>
          <t>Missing info</t>
        </is>
      </c>
      <c r="E45" s="2" t="inlineStr">
        <is>
          <t>Orbit 864 Modbus noise / hub</t>
        </is>
      </c>
      <c r="F45" s="2" t="inlineStr">
        <is>
          <t>Mechatronic recommends a hub on the Orbit 864 RTU line. Hub ordered for Bergen lab?</t>
        </is>
      </c>
      <c r="G45" s="2" t="inlineStr">
        <is>
          <t>Mail 2026-09-21/30 'Bestilling av komponent til Lab i Bergen'</t>
        </is>
      </c>
      <c r="H45" s="2" t="inlineStr"/>
      <c r="I45" s="2" t="inlineStr">
        <is>
          <t>Internal</t>
        </is>
      </c>
      <c r="J45" s="2" t="inlineStr">
        <is>
          <t>Bjørn</t>
        </is>
      </c>
      <c r="K45" s="2" t="inlineStr">
        <is>
          <t>Low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OX-16</t>
        </is>
      </c>
      <c r="B46" s="2" t="inlineStr">
        <is>
          <t>Oxygen</t>
        </is>
      </c>
      <c r="C46" s="2" t="inlineStr">
        <is>
          <t>Software</t>
        </is>
      </c>
      <c r="D46" s="2" t="inlineStr">
        <is>
          <t>Code bug</t>
        </is>
      </c>
      <c r="E46" s="2" t="inlineStr">
        <is>
          <t>Drive IP in ConfigValues</t>
        </is>
      </c>
      <c r="F46" s="2" t="inlineStr">
        <is>
          <t>InletRIOConfig DriveIP still 10.1.2.101; CAS simulator pod is at 10.1.2.150.</t>
        </is>
      </c>
      <c r="G46" s="2" t="inlineStr">
        <is>
          <t>PFC200_Sim ConfigValues</t>
        </is>
      </c>
      <c r="H46" s="2" t="inlineStr"/>
      <c r="I46" s="2" t="inlineStr">
        <is>
          <t>Internal</t>
        </is>
      </c>
      <c r="J46" s="2" t="inlineStr">
        <is>
          <t>Sigurd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OX-17</t>
        </is>
      </c>
      <c r="B47" s="2" t="inlineStr">
        <is>
          <t>Oxygen</t>
        </is>
      </c>
      <c r="C47" s="2" t="inlineStr">
        <is>
          <t>Physical</t>
        </is>
      </c>
      <c r="D47" s="2" t="inlineStr">
        <is>
          <t>Missing hardware</t>
        </is>
      </c>
      <c r="E47" s="2" t="inlineStr">
        <is>
          <t>Low O2 supply pressure switch / master shut-off valve</t>
        </is>
      </c>
      <c r="F47" s="2" t="inlineStr">
        <is>
          <t>No PLC input for low supply pressure and no PLC-controlled master shut-off valve on P&amp;ID or in PLC (HAZID backflow risk).</t>
        </is>
      </c>
      <c r="G47" s="2" t="inlineStr">
        <is>
          <t>HAZID oksygen; P&amp;ID rev A</t>
        </is>
      </c>
      <c r="H47" s="2" t="inlineStr"/>
      <c r="I47" s="2" t="inlineStr">
        <is>
          <t>Normex</t>
        </is>
      </c>
      <c r="J47" s="2" t="inlineStr">
        <is>
          <t>Sigurd</t>
        </is>
      </c>
      <c r="K47" s="2" t="inlineStr">
        <is>
          <t>High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OX-18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Code bug</t>
        </is>
      </c>
      <c r="E48" s="2" t="inlineStr">
        <is>
          <t>ATV650 fault codes from ATV320 list</t>
        </is>
      </c>
      <c r="F48" s="2" t="inlineStr">
        <is>
          <t>OxyPumpATV650 decodes LFT with ATV320 (NVE41316) codes (e.g. 16 OHF, 17 OLF, 22 USF). Verify against ATV600 list EAV64332.</t>
        </is>
      </c>
      <c r="G48" s="2" t="inlineStr">
        <is>
          <t>FB.OxySystem.OxyPumpATV650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Medium</t>
        </is>
      </c>
      <c r="L48" s="2" t="inlineStr">
        <is>
          <t>Closed</t>
        </is>
      </c>
      <c r="M48" s="2" t="inlineStr">
        <is>
          <t>2026-10-21</t>
        </is>
      </c>
      <c r="N48" s="2" t="inlineStr">
        <is>
          <t>Checked 2026-10-21 (CAS FD Oxygen): register addresses and fault codes match ATV600 EAV64332. Verify on the real drive at commissioning; program design/design basis still say ATV320.</t>
        </is>
      </c>
      <c r="O48" s="2" t="inlineStr">
        <is>
          <t>2026-10-21</t>
        </is>
      </c>
    </row>
    <row r="49">
      <c r="A49" s="2" t="inlineStr">
        <is>
          <t>OX-19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Inconsistency</t>
        </is>
      </c>
      <c r="E49" s="2" t="inlineStr">
        <is>
          <t>Side-stream pump head vs 4 bar setpoint</t>
        </is>
      </c>
      <c r="F49" s="2" t="inlineStr">
        <is>
          <t>Flygt NX 3153 datasheet: 10.2 m head at duty point, 18.3 m at shut-off (≈1-1.8 bar) — cannot give 4.0 bar after the pump. Simulator assumes 4.5 bar rise.</t>
        </is>
      </c>
      <c r="G49" s="2" t="inlineStr">
        <is>
          <t>CAS FD Oxygen OI18; NX 3153 datasheet; design_basis.toml</t>
        </is>
      </c>
      <c r="H49" s="2" t="inlineStr">
        <is>
          <t>Confirm pump, injector inlet pressure and setpoint</t>
        </is>
      </c>
      <c r="I49" s="2" t="inlineStr">
        <is>
          <t>Normex / Chucaotech</t>
        </is>
      </c>
      <c r="J49" s="2" t="inlineStr">
        <is>
          <t>Sigurd</t>
        </is>
      </c>
      <c r="K49" s="2" t="inlineStr">
        <is>
          <t>High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OX-20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Bad flow measurement causes over-dosing</t>
        </is>
      </c>
      <c r="F50" s="2" t="inlineStr">
        <is>
          <t>When a line's flow measurement is bad its flow counts as 0 in the sharing while its valve stays where it was — other lines add the same flow again.</t>
        </is>
      </c>
      <c r="G50" s="2" t="inlineStr">
        <is>
          <t>CAS FD Oxygen OI15; FB.Inlet.InletSupervisor</t>
        </is>
      </c>
      <c r="H50" s="2" t="inlineStr">
        <is>
          <t>Use last good flow or close the valve</t>
        </is>
      </c>
      <c r="I50" s="2" t="inlineStr">
        <is>
          <t>Internal</t>
        </is>
      </c>
      <c r="J50" s="2" t="inlineStr">
        <is>
          <t>Sigurd</t>
        </is>
      </c>
      <c r="K50" s="2" t="inlineStr">
        <is>
          <t>High</t>
        </is>
      </c>
      <c r="L50" s="2" t="inlineStr">
        <is>
          <t>Open</t>
        </is>
      </c>
      <c r="M50" s="2" t="inlineStr">
        <is>
          <t>2026-10-21</t>
        </is>
      </c>
      <c r="N50" s="2" t="inlineStr"/>
      <c r="O50" s="2" t="inlineStr"/>
    </row>
    <row r="51">
      <c r="A51" s="2" t="inlineStr">
        <is>
          <t>OX-21</t>
        </is>
      </c>
      <c r="B51" s="2" t="inlineStr">
        <is>
          <t>Oxygen</t>
        </is>
      </c>
      <c r="C51" s="2" t="inlineStr">
        <is>
          <t>Both</t>
        </is>
      </c>
      <c r="D51" s="2" t="inlineStr">
        <is>
          <t>Missing hardware</t>
        </is>
      </c>
      <c r="E51" s="2" t="inlineStr">
        <is>
          <t>Emergency stop to oxygen system</t>
        </is>
      </c>
      <c r="F51" s="2" t="inlineStr">
        <is>
          <t>No E-stop input wired to the Heimdall PLC; oxygen stop on E-stop not possible.</t>
        </is>
      </c>
      <c r="G51" s="2" t="inlineStr">
        <is>
          <t>CAS FD Oxygen OI22; CAS FD Inlet OI13</t>
        </is>
      </c>
      <c r="H51" s="2" t="inlineStr"/>
      <c r="I51" s="2" t="inlineStr">
        <is>
          <t>Internal</t>
        </is>
      </c>
      <c r="J51" s="2" t="inlineStr">
        <is>
          <t>Project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OX-22</t>
        </is>
      </c>
      <c r="B52" s="2" t="inlineStr">
        <is>
          <t>Oxygen</t>
        </is>
      </c>
      <c r="C52" s="2" t="inlineStr">
        <is>
          <t>Both</t>
        </is>
      </c>
      <c r="D52" s="2" t="inlineStr">
        <is>
          <t>Missing info</t>
        </is>
      </c>
      <c r="E52" s="2" t="inlineStr">
        <is>
          <t>ATV650 comm-loss behaviour</t>
        </is>
      </c>
      <c r="F52" s="2" t="inlineStr">
        <is>
          <t>Factory default on lost PLC link is freewheel stop; FD wants hold at preset speed (fallback speed / speed maintain).</t>
        </is>
      </c>
      <c r="G52" s="2" t="inlineStr">
        <is>
          <t>CAS FD Oxygen OI19</t>
        </is>
      </c>
      <c r="H52" s="2" t="inlineStr">
        <is>
          <t>Set ETHL fallback speed</t>
        </is>
      </c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Open</t>
        </is>
      </c>
      <c r="M52" s="2" t="inlineStr">
        <is>
          <t>2026-10-21</t>
        </is>
      </c>
      <c r="N52" s="2" t="inlineStr"/>
      <c r="O52" s="2" t="inlineStr"/>
    </row>
    <row r="53">
      <c r="A53" s="2" t="inlineStr">
        <is>
          <t>OX-23</t>
        </is>
      </c>
      <c r="B53" s="2" t="inlineStr">
        <is>
          <t>Oxygen</t>
        </is>
      </c>
      <c r="C53" s="2" t="inlineStr">
        <is>
          <t>Software</t>
        </is>
      </c>
      <c r="D53" s="2" t="inlineStr">
        <is>
          <t>PLC gap</t>
        </is>
      </c>
      <c r="E53" s="2" t="inlineStr">
        <is>
          <t>Low pressure-drop alarm over injector</t>
        </is>
      </c>
      <c r="F53" s="2" t="inlineStr">
        <is>
          <t>OxynatorOutletPressure is read but unused; no low dP alarm.</t>
        </is>
      </c>
      <c r="G53" s="2" t="inlineStr">
        <is>
          <t>CAS FD Oxygen OI10</t>
        </is>
      </c>
      <c r="H53" s="2" t="inlineStr"/>
      <c r="I53" s="2" t="inlineStr">
        <is>
          <t>Internal</t>
        </is>
      </c>
      <c r="J53" s="2" t="inlineStr">
        <is>
          <t>Sigurd</t>
        </is>
      </c>
      <c r="K53" s="2" t="inlineStr">
        <is>
          <t>Medium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OX-24</t>
        </is>
      </c>
      <c r="B54" s="2" t="inlineStr">
        <is>
          <t>Oxygen</t>
        </is>
      </c>
      <c r="C54" s="2" t="inlineStr">
        <is>
          <t>Both</t>
        </is>
      </c>
      <c r="D54" s="2" t="inlineStr">
        <is>
          <t>PLC gap</t>
        </is>
      </c>
      <c r="E54" s="2" t="inlineStr">
        <is>
          <t>Pump leakage / temperature contacts unused</t>
        </is>
      </c>
      <c r="F54" s="2" t="inlineStr">
        <is>
          <t>Side-stream pump leakage/temperature contacts exist on RIO1 only and are not used in the logic.</t>
        </is>
      </c>
      <c r="G54" s="2" t="inlineStr">
        <is>
          <t>CAS FD Oxygen OI24</t>
        </is>
      </c>
      <c r="H54" s="2" t="inlineStr"/>
      <c r="I54" s="2" t="inlineStr">
        <is>
          <t>Internal</t>
        </is>
      </c>
      <c r="J54" s="2" t="inlineStr">
        <is>
          <t>Sigurd</t>
        </is>
      </c>
      <c r="K54" s="2" t="inlineStr">
        <is>
          <t>Medium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OX-25</t>
        </is>
      </c>
      <c r="B55" s="2" t="inlineStr">
        <is>
          <t>Oxygen</t>
        </is>
      </c>
      <c r="C55" s="2" t="inlineStr">
        <is>
          <t>Physical</t>
        </is>
      </c>
      <c r="D55" s="2" t="inlineStr">
        <is>
          <t>Inconsistency</t>
        </is>
      </c>
      <c r="E55" s="2" t="inlineStr">
        <is>
          <t>O2 supply pressure</t>
        </is>
      </c>
      <c r="F55" s="2" t="inlineStr">
        <is>
          <t>Normex sketch '2.5 bar ?' vs Linde sheet 10 bar.</t>
        </is>
      </c>
      <c r="G55" s="2" t="inlineStr">
        <is>
          <t>CAS FD Oxygen OI1; Normex sketch 15.10.26</t>
        </is>
      </c>
      <c r="H55" s="2" t="inlineStr"/>
      <c r="I55" s="2" t="inlineStr">
        <is>
          <t>Normex</t>
        </is>
      </c>
      <c r="J55" s="2" t="inlineStr">
        <is>
          <t>Sigurd</t>
        </is>
      </c>
      <c r="K55" s="2" t="inlineStr">
        <is>
          <t>Medium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OX-26</t>
        </is>
      </c>
      <c r="B56" s="2" t="inlineStr">
        <is>
          <t>Oxygen</t>
        </is>
      </c>
      <c r="C56" s="2" t="inlineStr">
        <is>
          <t>Physical</t>
        </is>
      </c>
      <c r="D56" s="2" t="inlineStr">
        <is>
          <t>Decision</t>
        </is>
      </c>
      <c r="E56" s="2" t="inlineStr">
        <is>
          <t>Oxygen capacity with one inlet pump out</t>
        </is>
      </c>
      <c r="F56" s="2" t="inlineStr">
        <is>
          <t>Two lines must carry the full oxygen demand (~560-730 t biomass) when one inlet pump is out.</t>
        </is>
      </c>
      <c r="G56" s="2" t="inlineStr">
        <is>
          <t>CAS FD Oxygen OI26; sizing sheet</t>
        </is>
      </c>
      <c r="H56" s="2" t="inlineStr"/>
      <c r="I56" s="2" t="inlineStr">
        <is>
          <t>Internal</t>
        </is>
      </c>
      <c r="J56" s="2" t="inlineStr">
        <is>
          <t>Project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OX-27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Code bug</t>
        </is>
      </c>
      <c r="E57" s="2" t="inlineStr">
        <is>
          <t>PT40 variable name</t>
        </is>
      </c>
      <c r="F57" s="2" t="inlineStr">
        <is>
          <t>Supply pressure transmitter has the wrong variable name in the PLC vs P&amp;ID PT40.</t>
        </is>
      </c>
      <c r="G57" s="2" t="inlineStr">
        <is>
          <t>CAS FD Oxygen OI4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Low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OUT-01</t>
        </is>
      </c>
      <c r="B58" s="2" t="inlineStr">
        <is>
          <t>Outlet</t>
        </is>
      </c>
      <c r="C58" s="2" t="inlineStr">
        <is>
          <t>Both</t>
        </is>
      </c>
      <c r="D58" s="2" t="inlineStr">
        <is>
          <t>Decision</t>
        </is>
      </c>
      <c r="E58" s="2" t="inlineStr">
        <is>
          <t>Outlet on power loss</t>
        </is>
      </c>
      <c r="F58" s="2" t="inlineStr">
        <is>
          <t>Should the outlet close automatically on power loss (FD rev B) — accumulator, backup power for the pump, or manual?</t>
        </is>
      </c>
      <c r="G58" s="2" t="inlineStr">
        <is>
          <t>FD §3.2.3; Servi Q&amp;A; mail 'Automatisk stenging' 28.09</t>
        </is>
      </c>
      <c r="H58" s="2" t="inlineStr">
        <is>
          <t>Accumulator / backup power / manual hand pump</t>
        </is>
      </c>
      <c r="I58" s="2" t="inlineStr">
        <is>
          <t>Internal</t>
        </is>
      </c>
      <c r="J58" s="2" t="inlineStr">
        <is>
          <t>Project</t>
        </is>
      </c>
      <c r="K58" s="2" t="inlineStr">
        <is>
          <t>High</t>
        </is>
      </c>
      <c r="L58" s="2" t="inlineStr">
        <is>
          <t>Decided</t>
        </is>
      </c>
      <c r="M58" s="2" t="inlineStr">
        <is>
          <t>2026-10-21</t>
        </is>
      </c>
      <c r="N58" s="2" t="inlineStr">
        <is>
          <t>No automatic close. Dampers hold position; operator overrides with the HPU hand pump. Accumulator deferred — space for retrofit.</t>
        </is>
      </c>
      <c r="O58" s="2" t="inlineStr">
        <is>
          <t>2026-10-21</t>
        </is>
      </c>
    </row>
    <row r="59">
      <c r="A59" s="2" t="inlineStr">
        <is>
          <t>OUT-02</t>
        </is>
      </c>
      <c r="B59" s="2" t="inlineStr">
        <is>
          <t>Outlet</t>
        </is>
      </c>
      <c r="C59" s="2" t="inlineStr">
        <is>
          <t>Both</t>
        </is>
      </c>
      <c r="D59" s="2" t="inlineStr">
        <is>
          <t>Missing hardware</t>
        </is>
      </c>
      <c r="E59" s="2" t="inlineStr">
        <is>
          <t>Pressure transmitters per cylinder (8 → 4)</t>
        </is>
      </c>
      <c r="F59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59" s="2" t="inlineStr">
        <is>
          <t>Servi A1; FD §3.2.3; CylinderInputDUT; mail Bjørn 2026-10-19</t>
        </is>
      </c>
      <c r="H59" s="2" t="inlineStr">
        <is>
          <t>Buy 2nd PT (Minimess point, Servi offer) / detect end-of-stroke by pulses stopping</t>
        </is>
      </c>
      <c r="I59" s="2" t="inlineStr">
        <is>
          <t>Servi</t>
        </is>
      </c>
      <c r="J59" s="2" t="inlineStr">
        <is>
          <t>Bjørn</t>
        </is>
      </c>
      <c r="K59" s="2" t="inlineStr">
        <is>
          <t>High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OUT-03</t>
        </is>
      </c>
      <c r="B60" s="2" t="inlineStr">
        <is>
          <t>Outlet</t>
        </is>
      </c>
      <c r="C60" s="2" t="inlineStr">
        <is>
          <t>Physical</t>
        </is>
      </c>
      <c r="D60" s="2" t="inlineStr">
        <is>
          <t>Missing info</t>
        </is>
      </c>
      <c r="E60" s="2" t="inlineStr">
        <is>
          <t>Plus stroke direction</t>
        </is>
      </c>
      <c r="F60" s="2" t="inlineStr">
        <is>
          <t>Does plus stroke (A, extend) open or close the damper? Decides which end has the PT and the counter direction.</t>
        </is>
      </c>
      <c r="G60" s="2" t="inlineStr">
        <is>
          <t>Servi A1</t>
        </is>
      </c>
      <c r="H60" s="2" t="inlineStr"/>
      <c r="I60" s="2" t="inlineStr">
        <is>
          <t>Østerbø / Servi</t>
        </is>
      </c>
      <c r="J60" s="2" t="inlineStr">
        <is>
          <t>Bjørn</t>
        </is>
      </c>
      <c r="K60" s="2" t="inlineStr">
        <is>
          <t>High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OUT-04</t>
        </is>
      </c>
      <c r="B61" s="2" t="inlineStr">
        <is>
          <t>Outlet</t>
        </is>
      </c>
      <c r="C61" s="2" t="inlineStr">
        <is>
          <t>Both</t>
        </is>
      </c>
      <c r="D61" s="2" t="inlineStr">
        <is>
          <t>PLC gap</t>
        </is>
      </c>
      <c r="E61" s="2" t="inlineStr">
        <is>
          <t>Junction box signals not mapped</t>
        </is>
      </c>
      <c r="F61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1" s="2" t="inlineStr">
        <is>
          <t>Servi JB 18068 A2/A3; FB.RIO.CommonRIO</t>
        </is>
      </c>
      <c r="H61" s="2" t="inlineStr"/>
      <c r="I61" s="2" t="inlineStr">
        <is>
          <t>Servi</t>
        </is>
      </c>
      <c r="J61" s="2" t="inlineStr">
        <is>
          <t>Bjørn</t>
        </is>
      </c>
      <c r="K61" s="2" t="inlineStr">
        <is>
          <t>High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OUT-05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PLC gap</t>
        </is>
      </c>
      <c r="E62" s="2" t="inlineStr">
        <is>
          <t>Power-lost alarm to operator</t>
        </is>
      </c>
      <c r="F62" s="2" t="inlineStr">
        <is>
          <t>With manual override decided, operator must be alarmed on power loss. Needs the Servi power-lost / backup-power relay as a PLC input.</t>
        </is>
      </c>
      <c r="G62" s="2" t="inlineStr">
        <is>
          <t>Decision 2026-10-21; action item 82</t>
        </is>
      </c>
      <c r="H62" s="2" t="inlineStr"/>
      <c r="I62" s="2" t="inlineStr">
        <is>
          <t>Servi</t>
        </is>
      </c>
      <c r="J62" s="2" t="inlineStr">
        <is>
          <t>Bjørn</t>
        </is>
      </c>
      <c r="K62" s="2" t="inlineStr">
        <is>
          <t>High</t>
        </is>
      </c>
      <c r="L62" s="2" t="inlineStr">
        <is>
          <t>Open</t>
        </is>
      </c>
      <c r="M62" s="2" t="inlineStr">
        <is>
          <t>2026-10-21</t>
        </is>
      </c>
      <c r="N62" s="2" t="inlineStr"/>
      <c r="O62" s="2" t="inlineStr"/>
    </row>
    <row r="63">
      <c r="A63" s="2" t="inlineStr">
        <is>
          <t>OUT-06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Decision</t>
        </is>
      </c>
      <c r="E63" s="2" t="inlineStr">
        <is>
          <t>Hydraulic pump control authority</t>
        </is>
      </c>
      <c r="F63" s="2" t="inlineStr">
        <is>
          <t>Pump is DOL (start/reset DO, StarterFault DI, no running feedback). Local start/stop panel offered by Servi but not ordered. Local vs PLC authority; hard-wired low-oil stop?</t>
        </is>
      </c>
      <c r="G63" s="2" t="inlineStr">
        <is>
          <t>Servi mail 2026-10-01; OutletControl.HydraulicPumpControl</t>
        </is>
      </c>
      <c r="H63" s="2" t="inlineStr"/>
      <c r="I63" s="2" t="inlineStr">
        <is>
          <t>Internal / Servi</t>
        </is>
      </c>
      <c r="J63" s="2" t="inlineStr">
        <is>
          <t>Bjørn</t>
        </is>
      </c>
      <c r="K63" s="2" t="inlineStr">
        <is>
          <t>Medium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OUT-07</t>
        </is>
      </c>
      <c r="B64" s="2" t="inlineStr">
        <is>
          <t>Outlet</t>
        </is>
      </c>
      <c r="C64" s="2" t="inlineStr">
        <is>
          <t>Software</t>
        </is>
      </c>
      <c r="D64" s="2" t="inlineStr">
        <is>
          <t>Code bug</t>
        </is>
      </c>
      <c r="E64" s="2" t="inlineStr">
        <is>
          <t>Pump not stopped on oil tank fault</t>
        </is>
      </c>
      <c r="F64" s="2" t="inlineStr">
        <is>
          <t>PLC only alarms on HydraulicOilTankFault (low level / 70 °C); pump start not gated.</t>
        </is>
      </c>
      <c r="G64" s="2" t="inlineStr">
        <is>
          <t>OutletControl.HydraulicPumpControl</t>
        </is>
      </c>
      <c r="H64" s="2" t="inlineStr"/>
      <c r="I64" s="2" t="inlineStr">
        <is>
          <t>Internal</t>
        </is>
      </c>
      <c r="J64" s="2" t="inlineStr">
        <is>
          <t>Bjørn</t>
        </is>
      </c>
      <c r="K64" s="2" t="inlineStr">
        <is>
          <t>Medium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OUT-08</t>
        </is>
      </c>
      <c r="B65" s="2" t="inlineStr">
        <is>
          <t>Outlet</t>
        </is>
      </c>
      <c r="C65" s="2" t="inlineStr">
        <is>
          <t>Software</t>
        </is>
      </c>
      <c r="D65" s="2" t="inlineStr">
        <is>
          <t>PLC gap</t>
        </is>
      </c>
      <c r="E65" s="2" t="inlineStr">
        <is>
          <t>Outlet E-stop and other alarms</t>
        </is>
      </c>
      <c r="F65" s="2" t="inlineStr">
        <is>
          <t>No E-stop alarm (ES61 in alarm list); no filter, pump overload or power-loss alarms.</t>
        </is>
      </c>
      <c r="G65" s="2" t="inlineStr">
        <is>
          <t>FD-02 alarm list; OutletControl.AlarmHandling</t>
        </is>
      </c>
      <c r="H65" s="2" t="inlineStr"/>
      <c r="I65" s="2" t="inlineStr">
        <is>
          <t>Internal</t>
        </is>
      </c>
      <c r="J65" s="2" t="inlineStr">
        <is>
          <t>Bjørn</t>
        </is>
      </c>
      <c r="K65" s="2" t="inlineStr">
        <is>
          <t>Medium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OUT-09</t>
        </is>
      </c>
      <c r="B66" s="2" t="inlineStr">
        <is>
          <t>Outlet</t>
        </is>
      </c>
      <c r="C66" s="2" t="inlineStr">
        <is>
          <t>Physical</t>
        </is>
      </c>
      <c r="D66" s="2" t="inlineStr">
        <is>
          <t>Inconsistency</t>
        </is>
      </c>
      <c r="E66" s="2" t="inlineStr">
        <is>
          <t>Flow meter signal type</t>
        </is>
      </c>
      <c r="F66" s="2" t="inlineStr">
        <is>
          <t>JB overview sheet labels FT1-4 '24VDC 4-20MA'; sheet A2 says pulse. PLC assumes pulse (750-638).</t>
        </is>
      </c>
      <c r="G66" s="2" t="inlineStr">
        <is>
          <t>Servi JB 18068</t>
        </is>
      </c>
      <c r="H66" s="2" t="inlineStr">
        <is>
          <t>Servi to correct overview sheet</t>
        </is>
      </c>
      <c r="I66" s="2" t="inlineStr">
        <is>
          <t>Servi</t>
        </is>
      </c>
      <c r="J66" s="2" t="inlineStr">
        <is>
          <t>Bjørn</t>
        </is>
      </c>
      <c r="K66" s="2" t="inlineStr">
        <is>
          <t>Medium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OUT-10</t>
        </is>
      </c>
      <c r="B67" s="2" t="inlineStr">
        <is>
          <t>Outlet</t>
        </is>
      </c>
      <c r="C67" s="2" t="inlineStr">
        <is>
          <t>Software</t>
        </is>
      </c>
      <c r="D67" s="2" t="inlineStr">
        <is>
          <t>Code bug</t>
        </is>
      </c>
      <c r="E67" s="2" t="inlineStr">
        <is>
          <t>Mode openings look reversed</t>
        </is>
      </c>
      <c r="F67" s="2" t="inlineStr">
        <is>
          <t>OutletConfig.ModePosition default [20,30,40,50] % gives O-35 (34 000 m3/h) the smallest opening and S-75 the largest. FD column 'Spjeld-åpning %' empty.</t>
        </is>
      </c>
      <c r="G67" s="2" t="inlineStr">
        <is>
          <t>ConfigValues OutletConfig; FD Tabell 10</t>
        </is>
      </c>
      <c r="H67" s="2" t="inlineStr"/>
      <c r="I67" s="2" t="inlineStr">
        <is>
          <t>Internal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OUT-11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Missing info</t>
        </is>
      </c>
      <c r="E68" s="2" t="inlineStr">
        <is>
          <t>Stroke time and travel limits</t>
        </is>
      </c>
      <c r="F68" s="2" t="inlineStr">
        <is>
          <t>MaxTravelTimeOpen/Close 30 s = assumed stroke time (no margin). Estimate: one cylinder 5-7 s, four sharing the pump 20-26 s. FD 'ca nn s'.</t>
        </is>
      </c>
      <c r="G68" s="2" t="inlineStr">
        <is>
          <t>OutletConfig; design_basis.toml; Servi A1</t>
        </is>
      </c>
      <c r="H68" s="2" t="inlineStr">
        <is>
          <t>Fill in at FAT</t>
        </is>
      </c>
      <c r="I68" s="2" t="inlineStr">
        <is>
          <t>Servi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OUT-12</t>
        </is>
      </c>
      <c r="B69" s="2" t="inlineStr">
        <is>
          <t>Outlet</t>
        </is>
      </c>
      <c r="C69" s="2" t="inlineStr">
        <is>
          <t>Physical</t>
        </is>
      </c>
      <c r="D69" s="2" t="inlineStr">
        <is>
          <t>Missing info</t>
        </is>
      </c>
      <c r="E69" s="2" t="inlineStr">
        <is>
          <t>PSL valves driven on/off</t>
        </is>
      </c>
      <c r="F69" s="2" t="inlineStr">
        <is>
          <t>HAWE PSL are proportional; PLC drives them on/off via relays (750-1515). Confirm with Servi (min ~250 mA note, optional speed card) and relay rating.</t>
        </is>
      </c>
      <c r="G69" s="2" t="inlineStr">
        <is>
          <t>Servi A1; CommonRIO output mapping</t>
        </is>
      </c>
      <c r="H69" s="2" t="inlineStr"/>
      <c r="I69" s="2" t="inlineStr">
        <is>
          <t>Servi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OUT-13</t>
        </is>
      </c>
      <c r="B70" s="2" t="inlineStr">
        <is>
          <t>Outlet</t>
        </is>
      </c>
      <c r="C70" s="2" t="inlineStr">
        <is>
          <t>Software</t>
        </is>
      </c>
      <c r="D70" s="2" t="inlineStr">
        <is>
          <t>Missing info</t>
        </is>
      </c>
      <c r="E70" s="2" t="inlineStr">
        <is>
          <t>Outputs on remote I/O comm loss</t>
        </is>
      </c>
      <c r="F70" s="2" t="inlineStr">
        <is>
          <t>FD table empty; 750-1515 watchdog behaviour not set.</t>
        </is>
      </c>
      <c r="G70" s="2" t="inlineStr">
        <is>
          <t>FD §3.2.3</t>
        </is>
      </c>
      <c r="H70" s="2" t="inlineStr"/>
      <c r="I70" s="2" t="inlineStr">
        <is>
          <t>Internal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OUT-14</t>
        </is>
      </c>
      <c r="B71" s="2" t="inlineStr">
        <is>
          <t>Outlet</t>
        </is>
      </c>
      <c r="C71" s="2" t="inlineStr">
        <is>
          <t>Physical</t>
        </is>
      </c>
      <c r="D71" s="2" t="inlineStr">
        <is>
          <t>Missing info</t>
        </is>
      </c>
      <c r="E71" s="2" t="inlineStr">
        <is>
          <t>Shut-off valve XV65</t>
        </is>
      </c>
      <c r="F71" s="2" t="inlineStr">
        <is>
          <t>In FD and PLS action list 6.3 ('Stopp-ventil') but not on Servi A1 or in the PLC. Deferred with the accumulator?</t>
        </is>
      </c>
      <c r="G71" s="2" t="inlineStr">
        <is>
          <t>FD §3.2.3; PLS aksjonsliste 6.3</t>
        </is>
      </c>
      <c r="H71" s="2" t="inlineStr"/>
      <c r="I71" s="2" t="inlineStr">
        <is>
          <t>Internal</t>
        </is>
      </c>
      <c r="J71" s="2" t="inlineStr">
        <is>
          <t>Project</t>
        </is>
      </c>
      <c r="K71" s="2" t="inlineStr">
        <is>
          <t>Low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OUT-15</t>
        </is>
      </c>
      <c r="B72" s="2" t="inlineStr">
        <is>
          <t>Outlet</t>
        </is>
      </c>
      <c r="C72" s="2" t="inlineStr">
        <is>
          <t>Physical</t>
        </is>
      </c>
      <c r="D72" s="2" t="inlineStr">
        <is>
          <t>Inconsistency</t>
        </is>
      </c>
      <c r="E72" s="2" t="inlineStr">
        <is>
          <t>Motor and pressure data</t>
        </is>
      </c>
      <c r="F72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2" s="2" t="inlineStr">
        <is>
          <t>Servi A1, Q&amp;A, JB 18068; design_basis.toml</t>
        </is>
      </c>
      <c r="H72" s="2" t="inlineStr"/>
      <c r="I72" s="2" t="inlineStr">
        <is>
          <t>Servi</t>
        </is>
      </c>
      <c r="J72" s="2" t="inlineStr">
        <is>
          <t>Bjørn</t>
        </is>
      </c>
      <c r="K72" s="2" t="inlineStr">
        <is>
          <t>Low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OUT-16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Counter frequency</t>
        </is>
      </c>
      <c r="F73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3" s="2" t="inlineStr">
        <is>
          <t>HySense QG datasheet; 750-638 manual; CAS FD Outlet OI11</t>
        </is>
      </c>
      <c r="H73" s="2" t="inlineStr">
        <is>
          <t>Test at FAT</t>
        </is>
      </c>
      <c r="I73" s="2" t="inlineStr">
        <is>
          <t>Internal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OUT-17</t>
        </is>
      </c>
      <c r="B74" s="2" t="inlineStr">
        <is>
          <t>Outlet</t>
        </is>
      </c>
      <c r="C74" s="2" t="inlineStr">
        <is>
          <t>Physical</t>
        </is>
      </c>
      <c r="D74" s="2" t="inlineStr">
        <is>
          <t>Decision</t>
        </is>
      </c>
      <c r="E74" s="2" t="inlineStr">
        <is>
          <t>Integrated FAT at Østerbø</t>
        </is>
      </c>
      <c r="F74" s="2" t="inlineStr">
        <is>
          <t>Integrated test of our control cabinet with Servi's hydraulic cabinet, end of October: scope, hose lengths, fail-safe and hand pump test.</t>
        </is>
      </c>
      <c r="G74" s="2" t="inlineStr">
        <is>
          <t>Mail Fredrik 2026-10-07</t>
        </is>
      </c>
      <c r="H74" s="2" t="inlineStr"/>
      <c r="I74" s="2" t="inlineStr">
        <is>
          <t>Østerbø / Servi</t>
        </is>
      </c>
      <c r="J74" s="2" t="inlineStr">
        <is>
          <t>Project</t>
        </is>
      </c>
      <c r="K74" s="2" t="inlineStr">
        <is>
          <t>High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OUT-18</t>
        </is>
      </c>
      <c r="B75" s="2" t="inlineStr">
        <is>
          <t>Outlet</t>
        </is>
      </c>
      <c r="C75" s="2" t="inlineStr">
        <is>
          <t>Software</t>
        </is>
      </c>
      <c r="D75" s="2" t="inlineStr">
        <is>
          <t>Code bug</t>
        </is>
      </c>
      <c r="E75" s="2" t="inlineStr">
        <is>
          <t>Close never confirmed without 2nd pressure transmitter</t>
        </is>
      </c>
      <c r="F75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5" s="2" t="inlineStr">
        <is>
          <t>FB.Outlet.OutletControl; CylinderInputDUT</t>
        </is>
      </c>
      <c r="H75" s="2" t="inlineStr">
        <is>
          <t>Depends on OUT PT decision</t>
        </is>
      </c>
      <c r="I75" s="2" t="inlineStr">
        <is>
          <t>Internal</t>
        </is>
      </c>
      <c r="J75" s="2" t="inlineStr">
        <is>
          <t>Bjørn</t>
        </is>
      </c>
      <c r="K75" s="2" t="inlineStr">
        <is>
          <t>High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OUT-19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Missing hardware</t>
        </is>
      </c>
      <c r="E76" s="2" t="inlineStr">
        <is>
          <t>Hydraulic pump running feedback</t>
        </is>
      </c>
      <c r="F76" s="2" t="inlineStr">
        <is>
          <t>Pump is DOL; PLC has no running feedback (Status.Running = start command). Contactor auxiliary contact available in JB 18068?</t>
        </is>
      </c>
      <c r="G76" s="2" t="inlineStr">
        <is>
          <t>OutletControl.HydraulicPumpControl; Servi JB 18068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Medium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OUT-20</t>
        </is>
      </c>
      <c r="B77" s="2" t="inlineStr">
        <is>
          <t>Outlet</t>
        </is>
      </c>
      <c r="C77" s="2" t="inlineStr">
        <is>
          <t>Software</t>
        </is>
      </c>
      <c r="D77" s="2" t="inlineStr">
        <is>
          <t>Code bug</t>
        </is>
      </c>
      <c r="E77" s="2" t="inlineStr">
        <is>
          <t>End-position pressure limit cannot trip</t>
        </is>
      </c>
      <c r="F77" s="2" t="inlineStr">
        <is>
          <t>Servi A1 port pressure limiters are 100 bar; PLC end-position limit is also 100 bar with strict '&gt;'. Set ~70-80 bar after FAT; align simulator (160 bar).</t>
        </is>
      </c>
      <c r="G77" s="2" t="inlineStr">
        <is>
          <t>CAS FD Outlet OI3; Servi A1; OutletConfig</t>
        </is>
      </c>
      <c r="H77" s="2" t="inlineStr"/>
      <c r="I77" s="2" t="inlineStr">
        <is>
          <t>Internal</t>
        </is>
      </c>
      <c r="J77" s="2" t="inlineStr">
        <is>
          <t>Bjørn</t>
        </is>
      </c>
      <c r="K77" s="2" t="inlineStr">
        <is>
          <t>High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OUT-21</t>
        </is>
      </c>
      <c r="B78" s="2" t="inlineStr">
        <is>
          <t>Outlet</t>
        </is>
      </c>
      <c r="C78" s="2" t="inlineStr">
        <is>
          <t>Software</t>
        </is>
      </c>
      <c r="D78" s="2" t="inlineStr">
        <is>
          <t>Code bug</t>
        </is>
      </c>
      <c r="E78" s="2" t="inlineStr">
        <is>
          <t>Pressure scaling 0-250 bar</t>
        </is>
      </c>
      <c r="F78" s="2" t="inlineStr">
        <is>
          <t>Production pressure scaling must be 0-250 bar; DUT default is 0-10.</t>
        </is>
      </c>
      <c r="G78" s="2" t="inlineStr">
        <is>
          <t>CAS FD Outlet OI4</t>
        </is>
      </c>
      <c r="H78" s="2" t="inlineStr"/>
      <c r="I78" s="2" t="inlineStr">
        <is>
          <t>Internal</t>
        </is>
      </c>
      <c r="J78" s="2" t="inlineStr">
        <is>
          <t>Bjørn</t>
        </is>
      </c>
      <c r="K78" s="2" t="inlineStr">
        <is>
          <t>Medium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OUT-22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Default span treated as calibrated</t>
        </is>
      </c>
      <c r="F79" s="2" t="inlineStr">
        <is>
          <t>Default span 0-2000 counts counts as calibrated; calibration must be a commissioning step. FaultReset unused.</t>
        </is>
      </c>
      <c r="G79" s="2" t="inlineStr">
        <is>
          <t>CAS FD Outlet OI15</t>
        </is>
      </c>
      <c r="H79" s="2" t="inlineStr"/>
      <c r="I79" s="2" t="inlineStr">
        <is>
          <t>Internal</t>
        </is>
      </c>
      <c r="J79" s="2" t="inlineStr">
        <is>
          <t>Bjørn</t>
        </is>
      </c>
      <c r="K79" s="2" t="inlineStr">
        <is>
          <t>Low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OUT-23</t>
        </is>
      </c>
      <c r="B80" s="2" t="inlineStr">
        <is>
          <t>Outlet</t>
        </is>
      </c>
      <c r="C80" s="2" t="inlineStr">
        <is>
          <t>Both</t>
        </is>
      </c>
      <c r="D80" s="2" t="inlineStr">
        <is>
          <t>Inconsistency</t>
        </is>
      </c>
      <c r="E80" s="2" t="inlineStr">
        <is>
          <t>PLC Reset output has no JB counterpart</t>
        </is>
      </c>
      <c r="F80" s="2" t="inlineStr">
        <is>
          <t>PLC drives a pump Reset output; JB 18068 has no matching input. DI -R1-017 / DO -R1-020 wiring needed.</t>
        </is>
      </c>
      <c r="G80" s="2" t="inlineStr">
        <is>
          <t>CAS FD Outlet OI7;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OUT-24</t>
        </is>
      </c>
      <c r="B81" s="2" t="inlineStr">
        <is>
          <t>Outlet</t>
        </is>
      </c>
      <c r="C81" s="2" t="inlineStr">
        <is>
          <t>Physical</t>
        </is>
      </c>
      <c r="D81" s="2" t="inlineStr">
        <is>
          <t>Missing info</t>
        </is>
      </c>
      <c r="E81" s="2" t="inlineStr">
        <is>
          <t>Manual override procedure (O&amp;M)</t>
        </is>
      </c>
      <c r="F81" s="2" t="inlineStr">
        <is>
          <t>Hand pump and PSL manual levers, plus weekly end-position exercise, to be written into the O&amp;M manual.</t>
        </is>
      </c>
      <c r="G81" s="2" t="inlineStr">
        <is>
          <t>CAS FD Outlet OI17; decision 2026-10-21</t>
        </is>
      </c>
      <c r="H81" s="2" t="inlineStr"/>
      <c r="I81" s="2" t="inlineStr">
        <is>
          <t>Internal</t>
        </is>
      </c>
      <c r="J81" s="2" t="inlineStr">
        <is>
          <t>Project</t>
        </is>
      </c>
      <c r="K81" s="2" t="inlineStr">
        <is>
          <t>Low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OUT-25</t>
        </is>
      </c>
      <c r="B82" s="2" t="inlineStr">
        <is>
          <t>Outlet</t>
        </is>
      </c>
      <c r="C82" s="2" t="inlineStr">
        <is>
          <t>Both</t>
        </is>
      </c>
      <c r="D82" s="2" t="inlineStr">
        <is>
          <t>Missing info</t>
        </is>
      </c>
      <c r="E82" s="2" t="inlineStr">
        <is>
          <t>Position drift limit</t>
        </is>
      </c>
      <c r="F82" s="2" t="inlineStr">
        <is>
          <t>Drift limit of 2 pulses (HOLD in FD) to be verified at FAT.</t>
        </is>
      </c>
      <c r="G82" s="2" t="inlineStr">
        <is>
          <t>CAS FD Outlet OI18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Low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</sheetData>
  <autoFilter ref="A1:O82"/>
  <conditionalFormatting sqref="K2:K500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500">
    <cfRule type="cellIs" priority="4" operator="equal" dxfId="3">
      <formula>"Decided"</formula>
    </cfRule>
    <cfRule type="cellIs" priority="5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  <c r="B1" t="inlineStr"/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Closed (implemented in docs/PLC).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2026-10-21T10:05:42Z</dcterms:created>
  <dcterms:modified xmlns:dcterms="http://purl.org/dc/terms/" xmlns:xsi="http://www.w3.org/2001/XMLSchema-instance" xsi:type="dcterms:W3CDTF">2026-10-21T10:05:42Z</dcterms:modified>
</cp:coreProperties>
</file>