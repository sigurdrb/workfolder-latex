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utstanding item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</sheets>
  <definedNames>
    <definedName name="_xlnm._FilterDatabase" localSheetId="0" hidden="1">'Outstanding items'!$A$1:$O$87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4" fillId="0" borderId="1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7"/>
  <sheetViews>
    <sheetView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4" customWidth="1" min="4" max="4"/>
    <col width="30" customWidth="1" min="5" max="5"/>
    <col width="70" customWidth="1" min="6" max="6"/>
    <col width="38" customWidth="1" min="7" max="7"/>
    <col width="34" customWidth="1" min="8" max="8"/>
    <col width="18" customWidth="1" min="9" max="9"/>
    <col width="13" customWidth="1" min="10" max="10"/>
    <col width="10" customWidth="1" min="11" max="11"/>
    <col width="10" customWidth="1" min="12" max="12"/>
    <col width="11" customWidth="1" min="13" max="13"/>
    <col width="45" customWidth="1" min="14" max="14"/>
    <col width="11" customWidth="1" min="15" max="15"/>
  </cols>
  <sheetData>
    <row r="1">
      <c r="A1" s="1" t="inlineStr">
        <is>
          <t>ID</t>
        </is>
      </c>
      <c r="B1" s="1" t="inlineStr">
        <is>
          <t>System</t>
        </is>
      </c>
      <c r="C1" s="1" t="inlineStr">
        <is>
          <t>Domain</t>
        </is>
      </c>
      <c r="D1" s="1" t="inlineStr">
        <is>
          <t>Category</t>
        </is>
      </c>
      <c r="E1" s="1" t="inlineStr">
        <is>
          <t>Title</t>
        </is>
      </c>
      <c r="F1" s="1" t="inlineStr">
        <is>
          <t>Description</t>
        </is>
      </c>
      <c r="G1" s="1" t="inlineStr">
        <is>
          <t>References</t>
        </is>
      </c>
      <c r="H1" s="1" t="inlineStr">
        <is>
          <t>Options</t>
        </is>
      </c>
      <c r="I1" s="1" t="inlineStr">
        <is>
          <t>Ask / owner of answer</t>
        </is>
      </c>
      <c r="J1" s="1" t="inlineStr">
        <is>
          <t>Responsible</t>
        </is>
      </c>
      <c r="K1" s="1" t="inlineStr">
        <is>
          <t>Priority</t>
        </is>
      </c>
      <c r="L1" s="1" t="inlineStr">
        <is>
          <t>Status</t>
        </is>
      </c>
      <c r="M1" s="1" t="inlineStr">
        <is>
          <t>Raised</t>
        </is>
      </c>
      <c r="N1" s="1" t="inlineStr">
        <is>
          <t>Decision / answer</t>
        </is>
      </c>
      <c r="O1" s="1" t="inlineStr">
        <is>
          <t>Decided</t>
        </is>
      </c>
    </row>
    <row r="2">
      <c r="A2" s="2" t="inlineStr">
        <is>
          <t>GEN-01</t>
        </is>
      </c>
      <c r="B2" s="2" t="inlineStr">
        <is>
          <t>General</t>
        </is>
      </c>
      <c r="C2" s="2" t="inlineStr">
        <is>
          <t>Both</t>
        </is>
      </c>
      <c r="D2" s="2" t="inlineStr">
        <is>
          <t>Decision</t>
        </is>
      </c>
      <c r="E2" s="2" t="inlineStr">
        <is>
          <t>Supplier documentation baseline</t>
        </is>
      </c>
      <c r="F2" s="2" t="inlineStr">
        <is>
          <t>Framo, Servi/Østerbø and Normex interfaces each need one agreed signal list and functional description before FAT.</t>
        </is>
      </c>
      <c r="G2" s="2" t="inlineStr">
        <is>
          <t>Review 2026-10-21</t>
        </is>
      </c>
      <c r="H2" s="2" t="inlineStr"/>
      <c r="I2" s="2" t="inlineStr">
        <is>
          <t>Internal</t>
        </is>
      </c>
      <c r="J2" s="2" t="inlineStr">
        <is>
          <t>Project</t>
        </is>
      </c>
      <c r="K2" s="2" t="inlineStr">
        <is>
          <t>High</t>
        </is>
      </c>
      <c r="L2" s="2" t="inlineStr">
        <is>
          <t>Open</t>
        </is>
      </c>
      <c r="M2" s="2" t="inlineStr">
        <is>
          <t>2026-10-21</t>
        </is>
      </c>
      <c r="N2" s="2" t="inlineStr"/>
      <c r="O2" s="2" t="inlineStr"/>
    </row>
    <row r="3">
      <c r="A3" s="2" t="inlineStr">
        <is>
          <t>GEN-02</t>
        </is>
      </c>
      <c r="B3" s="2" t="inlineStr">
        <is>
          <t>General</t>
        </is>
      </c>
      <c r="C3" s="2" t="inlineStr">
        <is>
          <t>Software</t>
        </is>
      </c>
      <c r="D3" s="2" t="inlineStr">
        <is>
          <t>Missing info</t>
        </is>
      </c>
      <c r="E3" s="2" t="inlineStr">
        <is>
          <t>Alarm priorities and acknowledge classes</t>
        </is>
      </c>
      <c r="F3" s="2" t="inlineStr">
        <is>
          <t>Alarm list FD-02 has no priority or acknowledgement classes; the PLC mixes auto-ack and operator ack.</t>
        </is>
      </c>
      <c r="G3" s="2" t="inlineStr">
        <is>
          <t>CAS FD Inlet OI21; FD-02</t>
        </is>
      </c>
      <c r="H3" s="2" t="inlineStr"/>
      <c r="I3" s="2" t="inlineStr">
        <is>
          <t>Internal</t>
        </is>
      </c>
      <c r="J3" s="2" t="inlineStr">
        <is>
          <t>Project</t>
        </is>
      </c>
      <c r="K3" s="2" t="inlineStr">
        <is>
          <t>Low</t>
        </is>
      </c>
      <c r="L3" s="2" t="inlineStr">
        <is>
          <t>Open</t>
        </is>
      </c>
      <c r="M3" s="2" t="inlineStr">
        <is>
          <t>2026-10-21</t>
        </is>
      </c>
      <c r="N3" s="2" t="inlineStr"/>
      <c r="O3" s="2" t="inlineStr"/>
    </row>
    <row r="4">
      <c r="A4" s="2" t="inlineStr">
        <is>
          <t>GEN-03</t>
        </is>
      </c>
      <c r="B4" s="2" t="inlineStr">
        <is>
          <t>General</t>
        </is>
      </c>
      <c r="C4" s="2" t="inlineStr">
        <is>
          <t>Software</t>
        </is>
      </c>
      <c r="D4" s="2" t="inlineStr">
        <is>
          <t>Missing info</t>
        </is>
      </c>
      <c r="E4" s="2" t="inlineStr">
        <is>
          <t>Production HMI specification</t>
        </is>
      </c>
      <c r="F4" s="2" t="inlineStr">
        <is>
          <t>Production HMI (screens, users, access) not specified; outlet screens not built.</t>
        </is>
      </c>
      <c r="G4" s="2" t="inlineStr">
        <is>
          <t>CAS FD Oxygen OI25; CAS FD Outlet OI19</t>
        </is>
      </c>
      <c r="H4" s="2" t="inlineStr"/>
      <c r="I4" s="2" t="inlineStr">
        <is>
          <t>Internal</t>
        </is>
      </c>
      <c r="J4" s="2" t="inlineStr">
        <is>
          <t>Project</t>
        </is>
      </c>
      <c r="K4" s="2" t="inlineStr">
        <is>
          <t>Medium</t>
        </is>
      </c>
      <c r="L4" s="2" t="inlineStr">
        <is>
          <t>Open</t>
        </is>
      </c>
      <c r="M4" s="2" t="inlineStr">
        <is>
          <t>2026-10-21</t>
        </is>
      </c>
      <c r="N4" s="2" t="inlineStr"/>
      <c r="O4" s="2" t="inlineStr"/>
    </row>
    <row r="5">
      <c r="A5" s="2" t="inlineStr">
        <is>
          <t>IN-01</t>
        </is>
      </c>
      <c r="B5" s="2" t="inlineStr">
        <is>
          <t>Inlet</t>
        </is>
      </c>
      <c r="C5" s="2" t="inlineStr">
        <is>
          <t>Both</t>
        </is>
      </c>
      <c r="D5" s="2" t="inlineStr">
        <is>
          <t>Inconsistency</t>
        </is>
      </c>
      <c r="E5" s="2" t="inlineStr">
        <is>
          <t>Framo interface baseline</t>
        </is>
      </c>
      <c r="F5" s="2" t="inlineStr">
        <is>
          <t>Three versions: Framo interface list 01.09.2025, Framo spec rev B (0000_CAS_SPEC_CTRLSYS 08.10.2025) and FD rev B. Node names differ (SpeedSetpoint vs VelocitySetpoint, AquastreamStopped vs PumpStopped); PLC writes Framo_n.SpeedSetpoint.</t>
        </is>
      </c>
      <c r="G5" s="2" t="inlineStr">
        <is>
          <t>Framo_InterfaceList_01.09.2025.docx; 0000_CAS_SPEC_CTRLSYS m kommentarer.pdf; FD §3.2.1; PRG.FramoDataProcessing</t>
        </is>
      </c>
      <c r="H5" s="2" t="inlineStr">
        <is>
          <t>Agree rev B as baseline and freeze OPC UA node names</t>
        </is>
      </c>
      <c r="I5" s="2" t="inlineStr">
        <is>
          <t>Framo</t>
        </is>
      </c>
      <c r="J5" s="2" t="inlineStr">
        <is>
          <t>Sigurd</t>
        </is>
      </c>
      <c r="K5" s="2" t="inlineStr">
        <is>
          <t>High</t>
        </is>
      </c>
      <c r="L5" s="2" t="inlineStr">
        <is>
          <t>Open</t>
        </is>
      </c>
      <c r="M5" s="2" t="inlineStr">
        <is>
          <t>2026-10-21</t>
        </is>
      </c>
      <c r="N5" s="2" t="inlineStr"/>
      <c r="O5" s="2" t="inlineStr"/>
    </row>
    <row r="6">
      <c r="A6" s="2" t="inlineStr">
        <is>
          <t>IN-02</t>
        </is>
      </c>
      <c r="B6" s="2" t="inlineStr">
        <is>
          <t>Inlet</t>
        </is>
      </c>
      <c r="C6" s="2" t="inlineStr">
        <is>
          <t>Both</t>
        </is>
      </c>
      <c r="D6" s="2" t="inlineStr">
        <is>
          <t>Inconsistency</t>
        </is>
      </c>
      <c r="E6" s="2" t="inlineStr">
        <is>
          <t>Heartbeat definition</t>
        </is>
      </c>
      <c r="F6" s="2" t="inlineStr">
        <is>
          <t>FD §3.2.1 text: INT counter 0..32767. FD Tabell 6 / Framo rev B: BOOL toggle + Interval/Elapsed. PLC (D1): one shared bit, PLC sets, Framo clears, timeout 10 s; HeartbeatInterval never written. Aksjonsliste #3 open.</t>
        </is>
      </c>
      <c r="G6" s="2" t="inlineStr">
        <is>
          <t>FD §3.2.1, Tabell 6; Framo spec rev B; FB.Inlet.InletControl</t>
        </is>
      </c>
      <c r="H6" s="2" t="inlineStr">
        <is>
          <t>Confirm shared-bit scheme, interval, timeout and Framo HOLD delay</t>
        </is>
      </c>
      <c r="I6" s="2" t="inlineStr">
        <is>
          <t>Framo</t>
        </is>
      </c>
      <c r="J6" s="2" t="inlineStr">
        <is>
          <t>Sigurd</t>
        </is>
      </c>
      <c r="K6" s="2" t="inlineStr">
        <is>
          <t>High</t>
        </is>
      </c>
      <c r="L6" s="2" t="inlineStr">
        <is>
          <t>Open</t>
        </is>
      </c>
      <c r="M6" s="2" t="inlineStr">
        <is>
          <t>2026-10-21</t>
        </is>
      </c>
      <c r="N6" s="2" t="inlineStr"/>
      <c r="O6" s="2" t="inlineStr"/>
    </row>
    <row r="7">
      <c r="A7" s="2" t="inlineStr">
        <is>
          <t>IN-03</t>
        </is>
      </c>
      <c r="B7" s="2" t="inlineStr">
        <is>
          <t>Inlet</t>
        </is>
      </c>
      <c r="C7" s="2" t="inlineStr">
        <is>
          <t>Both</t>
        </is>
      </c>
      <c r="D7" s="2" t="inlineStr">
        <is>
          <t>Inconsistency</t>
        </is>
      </c>
      <c r="E7" s="2" t="inlineStr">
        <is>
          <t>HOLD / LOCKDOWN recovery</t>
        </is>
      </c>
      <c r="F7" s="2" t="inlineStr">
        <is>
          <t>Framo rev B: HOLD returns to REMOTE automatically when heartbeat is back; LOCKDOWN exits on 'Sequence END'. FD Tabell 5 requires operator Reset. The PLC works either way: it follows the state the PCC reports (LIC01 frozen in HOLD, bumpless resume in REMOTE) and sends Reset only on the operator's command (since 2026-10-21 held until the state change is seen; warning FailedToReset after 2 x ResetExpectedTime). Open with Framo: which behaviour the PCC implements, edge or level on Reset, and whether the PCC panel has its own local Reset.</t>
        </is>
      </c>
      <c r="G7" s="2" t="inlineStr">
        <is>
          <t>FD Tabell 5; Framo spec rev B state diagram; FB.Inlet.InletControl; CAS FD Inlet rev A1 OI2/OI3</t>
        </is>
      </c>
      <c r="H7" s="2" t="inlineStr">
        <is>
          <t>Reset required (FD) vs automatic (Framo)</t>
        </is>
      </c>
      <c r="I7" s="2" t="inlineStr">
        <is>
          <t>Framo</t>
        </is>
      </c>
      <c r="J7" s="2" t="inlineStr">
        <is>
          <t>Sigurd</t>
        </is>
      </c>
      <c r="K7" s="2" t="inlineStr">
        <is>
          <t>High</t>
        </is>
      </c>
      <c r="L7" s="2" t="inlineStr">
        <is>
          <t>Open</t>
        </is>
      </c>
      <c r="M7" s="2" t="inlineStr">
        <is>
          <t>2026-10-21</t>
        </is>
      </c>
      <c r="N7" s="2" t="inlineStr"/>
      <c r="O7" s="2" t="inlineStr"/>
    </row>
    <row r="8">
      <c r="A8" s="2" t="inlineStr">
        <is>
          <t>IN-04</t>
        </is>
      </c>
      <c r="B8" s="2" t="inlineStr">
        <is>
          <t>Inlet</t>
        </is>
      </c>
      <c r="C8" s="2" t="inlineStr">
        <is>
          <t>Software</t>
        </is>
      </c>
      <c r="D8" s="2" t="inlineStr">
        <is>
          <t>Code bug</t>
        </is>
      </c>
      <c r="E8" s="2" t="inlineStr">
        <is>
          <t>Stop accepted only in REMOTE</t>
        </is>
      </c>
      <c r="F8" s="2" t="inlineStr">
        <is>
          <t>Framo rev B accepts Stop only in REMOTE; PLC stop timer also arms in STARTING/HOLD and raises 'Stopp feilet'. Heartbeat loss in START/AVAILABLE undefined by Framo.</t>
        </is>
      </c>
      <c r="G8" s="2" t="inlineStr">
        <is>
          <t>Framo spec rev B; FB.Inlet.InletControl ShutdownTransitionTimer</t>
        </is>
      </c>
      <c r="H8" s="2" t="inlineStr"/>
      <c r="I8" s="2" t="inlineStr">
        <is>
          <t>Framo</t>
        </is>
      </c>
      <c r="J8" s="2" t="inlineStr">
        <is>
          <t>Sigurd</t>
        </is>
      </c>
      <c r="K8" s="2" t="inlineStr">
        <is>
          <t>Medium</t>
        </is>
      </c>
      <c r="L8" s="2" t="inlineStr">
        <is>
          <t>Open</t>
        </is>
      </c>
      <c r="M8" s="2" t="inlineStr">
        <is>
          <t>2026-10-21</t>
        </is>
      </c>
      <c r="N8" s="2" t="inlineStr"/>
      <c r="O8" s="2" t="inlineStr"/>
    </row>
    <row r="9">
      <c r="A9" s="2" t="inlineStr">
        <is>
          <t>IN-05</t>
        </is>
      </c>
      <c r="B9" s="2" t="inlineStr">
        <is>
          <t>Inlet</t>
        </is>
      </c>
      <c r="C9" s="2" t="inlineStr">
        <is>
          <t>Software</t>
        </is>
      </c>
      <c r="D9" s="2" t="inlineStr">
        <is>
          <t>Decision</t>
        </is>
      </c>
      <c r="E9" s="2" t="inlineStr">
        <is>
          <t>LIC01 response to pump trip / rejoin</t>
        </is>
      </c>
      <c r="F9" s="2" t="inlineStr">
        <is>
          <t>Sim test 2026-10-21: losing 1 of 3 pumps dips level 3.4 cm; rejoin overshoots 2.7 cm (no feed-forward on running pumps, integral windup at 130 rpm).</t>
        </is>
      </c>
      <c r="G9" s="2" t="inlineStr">
        <is>
          <t>Sim test 2026-10-21 (CasRioSim 2.4.5)</t>
        </is>
      </c>
      <c r="H9" s="2" t="inlineStr">
        <is>
          <t>Feed-forward N/(N-1); anti-windup; gain scheduling per FD Tabell 8</t>
        </is>
      </c>
      <c r="I9" s="2" t="inlineStr">
        <is>
          <t>Internal</t>
        </is>
      </c>
      <c r="J9" s="2" t="inlineStr">
        <is>
          <t>Sigurd</t>
        </is>
      </c>
      <c r="K9" s="2" t="inlineStr">
        <is>
          <t>High</t>
        </is>
      </c>
      <c r="L9" s="2" t="inlineStr">
        <is>
          <t>In progress</t>
        </is>
      </c>
      <c r="M9" s="2" t="inlineStr">
        <is>
          <t>2026-10-21</t>
        </is>
      </c>
      <c r="N9" s="2" t="inlineStr">
        <is>
          <t>Baseline sim 2026-10-22: pump 3 out -&gt; level 6.0 -&gt; 3.0 cm, 4 min back; pump 3 restart -&gt; 9.1 cm, mostly during its START (own preset speed while the others still ran fast). Implemented in CODESYS 2026-10-22 (not yet downloaded/tested): LIC01 output = TOTAL speed of the pumps in level control; pumps in REMOTE share (total - actual speed of the pumps starting/stopping) / N, limited 40-130 rpm, in PenInletSupervisor.AutoSpeedSetpoint. A trip or a start is compensated in the same cycle; Kp 450 -&gt; 1350 (total). Retained Kp must be set to 1350 after download. HMI: heimdall-cas-hmi PR #6. Sim test pending (PLC busy).</t>
        </is>
      </c>
      <c r="O9" s="2" t="n"/>
    </row>
    <row r="10">
      <c r="A10" s="2" t="inlineStr">
        <is>
          <t>IN-06</t>
        </is>
      </c>
      <c r="B10" s="2" t="inlineStr">
        <is>
          <t>Inlet</t>
        </is>
      </c>
      <c r="C10" s="2" t="inlineStr">
        <is>
          <t>Both</t>
        </is>
      </c>
      <c r="D10" s="2" t="inlineStr">
        <is>
          <t>Decision</t>
        </is>
      </c>
      <c r="E10" s="2" t="inlineStr">
        <is>
          <t>Minimum controllable overheight</t>
        </is>
      </c>
      <c r="F10" s="2" t="inlineStr">
        <is>
          <t>O-60 and S-75 use 0.5 cm overheight. Level transmitter resolution ~1 mm, plus surface waves.</t>
        </is>
      </c>
      <c r="G10" s="2" t="inlineStr">
        <is>
          <t>FD Tabell 10; design basis Table 16</t>
        </is>
      </c>
      <c r="H10" s="2" t="inlineStr">
        <is>
          <t>Set minimum setpoint and low-level alarm limits</t>
        </is>
      </c>
      <c r="I10" s="2" t="inlineStr">
        <is>
          <t>Internal</t>
        </is>
      </c>
      <c r="J10" s="2" t="inlineStr">
        <is>
          <t>Project</t>
        </is>
      </c>
      <c r="K10" s="2" t="inlineStr">
        <is>
          <t>High</t>
        </is>
      </c>
      <c r="L10" s="2" t="inlineStr">
        <is>
          <t>Open</t>
        </is>
      </c>
      <c r="M10" s="2" t="inlineStr">
        <is>
          <t>2026-10-21</t>
        </is>
      </c>
      <c r="N10" s="2" t="inlineStr"/>
      <c r="O10" s="2" t="inlineStr"/>
    </row>
    <row r="11">
      <c r="A11" s="2" t="inlineStr">
        <is>
          <t>IN-07</t>
        </is>
      </c>
      <c r="B11" s="2" t="inlineStr">
        <is>
          <t>Inlet</t>
        </is>
      </c>
      <c r="C11" s="2" t="inlineStr">
        <is>
          <t>Software</t>
        </is>
      </c>
      <c r="D11" s="2" t="inlineStr">
        <is>
          <t>Inconsistency</t>
        </is>
      </c>
      <c r="E11" s="2" t="inlineStr">
        <is>
          <t>LIC01 parameter sets</t>
        </is>
      </c>
      <c r="F11" s="2" t="inlineStr">
        <is>
          <t>FD wants 3 parameter sets by number of pumps (P 0.5/1/2, Ti 600 s). PLC has one (Kp 450, Ti 60 s tested in sim).</t>
        </is>
      </c>
      <c r="G11" s="2" t="inlineStr">
        <is>
          <t>FD Tabell 8; ConfigValues PenConfig; D6</t>
        </is>
      </c>
      <c r="H11" s="2" t="inlineStr">
        <is>
          <t>Update FD to tested values or implement scheduling</t>
        </is>
      </c>
      <c r="I11" s="2" t="inlineStr">
        <is>
          <t>Internal</t>
        </is>
      </c>
      <c r="J11" s="2" t="inlineStr">
        <is>
          <t>Sigurd</t>
        </is>
      </c>
      <c r="K11" s="2" t="inlineStr">
        <is>
          <t>Medium</t>
        </is>
      </c>
      <c r="L11" s="2" t="inlineStr">
        <is>
          <t>In progress</t>
        </is>
      </c>
      <c r="M11" s="2" t="inlineStr">
        <is>
          <t>2026-10-21</t>
        </is>
      </c>
      <c r="N11" s="2" t="inlineStr">
        <is>
          <t>With the shared total output (IN-05) the loop gain no longer depends on the number of pumps: one parameter set (Kp 1350 total rpm/m, Ti 60 s) replaces FD Tabell 8's three. Update FD to rev C after the sim test.</t>
        </is>
      </c>
      <c r="O11" s="2" t="n"/>
    </row>
    <row r="12">
      <c r="A12" s="2" t="inlineStr">
        <is>
          <t>IN-08</t>
        </is>
      </c>
      <c r="B12" s="2" t="inlineStr">
        <is>
          <t>Inlet</t>
        </is>
      </c>
      <c r="C12" s="2" t="inlineStr">
        <is>
          <t>Physical</t>
        </is>
      </c>
      <c r="D12" s="2" t="inlineStr">
        <is>
          <t>Inconsistency</t>
        </is>
      </c>
      <c r="E12" s="2" t="inlineStr">
        <is>
          <t>Flow per operating mode</t>
        </is>
      </c>
      <c r="F12" s="2" t="inlineStr">
        <is>
          <t>FD Tabell 10 O-35 = 34 000 m3/h; design basis: max requirement 27 000 m3/h, 20 000 m3/h per pump. Framo action WS-Aug #20 '26 000 ok for emergency mode?' open.</t>
        </is>
      </c>
      <c r="G12" s="2" t="inlineStr">
        <is>
          <t>FD Tabell 10; design basis §4.4; Framo aksjonsliste</t>
        </is>
      </c>
      <c r="H12" s="2" t="inlineStr"/>
      <c r="I12" s="2" t="inlineStr">
        <is>
          <t>Internal / Framo</t>
        </is>
      </c>
      <c r="J12" s="2" t="inlineStr">
        <is>
          <t>Project</t>
        </is>
      </c>
      <c r="K12" s="2" t="inlineStr">
        <is>
          <t>Medium</t>
        </is>
      </c>
      <c r="L12" s="2" t="inlineStr">
        <is>
          <t>Open</t>
        </is>
      </c>
      <c r="M12" s="2" t="inlineStr">
        <is>
          <t>2026-10-21</t>
        </is>
      </c>
      <c r="N12" s="2" t="inlineStr"/>
      <c r="O12" s="2" t="inlineStr"/>
    </row>
    <row r="13">
      <c r="A13" s="2" t="inlineStr">
        <is>
          <t>IN-09</t>
        </is>
      </c>
      <c r="B13" s="2" t="inlineStr">
        <is>
          <t>Inlet</t>
        </is>
      </c>
      <c r="C13" s="2" t="inlineStr">
        <is>
          <t>Software</t>
        </is>
      </c>
      <c r="D13" s="2" t="inlineStr">
        <is>
          <t>PLC gap</t>
        </is>
      </c>
      <c r="E13" s="2" t="inlineStr">
        <is>
          <t>Pen level alarms missing</t>
        </is>
      </c>
      <c r="F13" s="2" t="inlineStr">
        <is>
          <t>FD Tabell 7 and alarm list rows 29-32: control deviation, low level, high level, fault per level sensor. PenAlarmDUT has only LevelMeasurementLost.</t>
        </is>
      </c>
      <c r="G13" s="2" t="inlineStr">
        <is>
          <t>FD Tabell 7; FD-02 alarm list</t>
        </is>
      </c>
      <c r="H13" s="2" t="inlineStr"/>
      <c r="I13" s="2" t="inlineStr">
        <is>
          <t>Internal</t>
        </is>
      </c>
      <c r="J13" s="2" t="inlineStr">
        <is>
          <t>Sigurd</t>
        </is>
      </c>
      <c r="K13" s="2" t="inlineStr">
        <is>
          <t>Medium</t>
        </is>
      </c>
      <c r="L13" s="2" t="inlineStr">
        <is>
          <t>In progress</t>
        </is>
      </c>
      <c r="M13" s="2" t="inlineStr">
        <is>
          <t>2026-10-21</t>
        </is>
      </c>
      <c r="N13" s="2" t="inlineStr">
        <is>
          <t>Control deviation implemented in CODESYS 2026-10-22 (not yet downloaded/tested): Pen.Alarm.LevelDeviationHigh / LevelDeviationLow when LIC01 is in auto and the over-height is more than PenConfig.LevelDeviationLimit (0.02 m) above / below the setpoint for LevelDeviationDelay (5 min); not during start-up, manual, SafeOutput or HOLD freeze. Fault per level sensor already covered by the transmitters' Quality alarms. Still open: absolute low / high level alarms (alarm list rows 31-32). HMI: heimdall-cas-hmi PR #8.</t>
        </is>
      </c>
      <c r="O13" s="2" t="inlineStr"/>
    </row>
    <row r="14">
      <c r="A14" s="2" t="inlineStr">
        <is>
          <t>IN-10</t>
        </is>
      </c>
      <c r="B14" s="2" t="inlineStr">
        <is>
          <t>Inlet</t>
        </is>
      </c>
      <c r="C14" s="2" t="inlineStr">
        <is>
          <t>Software</t>
        </is>
      </c>
      <c r="D14" s="2" t="inlineStr">
        <is>
          <t>PLC gap</t>
        </is>
      </c>
      <c r="E14" s="2" t="inlineStr">
        <is>
          <t>Pump speed deviation alarm</t>
        </is>
      </c>
      <c r="F14" s="2" t="inlineStr">
        <is>
          <t>Not implemented (D7). Alarm list has 'Hastighetsavvik innløpspumpe 1' twice (rows 24/25).</t>
        </is>
      </c>
      <c r="G14" s="2" t="inlineStr">
        <is>
          <t>FD-02 alarm list; program design D7</t>
        </is>
      </c>
      <c r="H14" s="2" t="inlineStr"/>
      <c r="I14" s="2" t="inlineStr">
        <is>
          <t>Internal</t>
        </is>
      </c>
      <c r="J14" s="2" t="inlineStr">
        <is>
          <t>Sigurd</t>
        </is>
      </c>
      <c r="K14" s="2" t="inlineStr">
        <is>
          <t>Medium</t>
        </is>
      </c>
      <c r="L14" s="2" t="inlineStr">
        <is>
          <t>Open</t>
        </is>
      </c>
      <c r="M14" s="2" t="inlineStr">
        <is>
          <t>2026-10-21</t>
        </is>
      </c>
      <c r="N14" s="2" t="inlineStr"/>
      <c r="O14" s="2" t="inlineStr"/>
    </row>
    <row r="15">
      <c r="A15" s="2" t="inlineStr">
        <is>
          <t>IN-11</t>
        </is>
      </c>
      <c r="B15" s="2" t="inlineStr">
        <is>
          <t>Inlet</t>
        </is>
      </c>
      <c r="C15" s="2" t="inlineStr">
        <is>
          <t>Software</t>
        </is>
      </c>
      <c r="D15" s="2" t="inlineStr">
        <is>
          <t>Code bug</t>
        </is>
      </c>
      <c r="E15" s="2" t="inlineStr">
        <is>
          <t>LowPower/HighPower in common alarm</t>
        </is>
      </c>
      <c r="F15" s="2" t="inlineStr">
        <is>
          <t>PLC PumpCommonError includes LowPower/HighPower; FD and alarm list say notification only, not in common alarm.</t>
        </is>
      </c>
      <c r="G15" s="2" t="inlineStr">
        <is>
          <t>FB.Inlet.InletControl.AlarmHandling; FD-02</t>
        </is>
      </c>
      <c r="H15" s="2" t="inlineStr">
        <is>
          <t>Remove from PumpCommonError</t>
        </is>
      </c>
      <c r="I15" s="2" t="inlineStr">
        <is>
          <t>Internal</t>
        </is>
      </c>
      <c r="J15" s="2" t="inlineStr">
        <is>
          <t>Sigurd</t>
        </is>
      </c>
      <c r="K15" s="2" t="inlineStr">
        <is>
          <t>Low</t>
        </is>
      </c>
      <c r="L15" s="2" t="inlineStr">
        <is>
          <t>Open</t>
        </is>
      </c>
      <c r="M15" s="2" t="inlineStr">
        <is>
          <t>2026-10-21</t>
        </is>
      </c>
      <c r="N15" s="2" t="inlineStr"/>
      <c r="O15" s="2" t="inlineStr"/>
    </row>
    <row r="16">
      <c r="A16" s="2" t="inlineStr">
        <is>
          <t>IN-12</t>
        </is>
      </c>
      <c r="B16" s="2" t="inlineStr">
        <is>
          <t>Inlet</t>
        </is>
      </c>
      <c r="C16" s="2" t="inlineStr">
        <is>
          <t>Both</t>
        </is>
      </c>
      <c r="D16" s="2" t="inlineStr">
        <is>
          <t>Missing info</t>
        </is>
      </c>
      <c r="E16" s="2" t="inlineStr">
        <is>
          <t>Vacuum / air evacuation system</t>
        </is>
      </c>
      <c r="F16" s="2" t="inlineStr">
        <is>
          <t>Not in either Framo document. PLC reads PressureCompressedAir, LSL01/LSH02, StatusV001/V002; FD uses LSL31/LSH32/XV31/XV32; VacuumSystemAlarmDUT empty; Framo cabinet drawing lacks the evacuation unit (Aksjonsliste #19).</t>
        </is>
      </c>
      <c r="G16" s="2" t="inlineStr">
        <is>
          <t>FD Tabell 6; FD-02 'Overfylling i Luftevakuering'; Framo aksjonsliste #19</t>
        </is>
      </c>
      <c r="H16" s="2" t="inlineStr"/>
      <c r="I16" s="2" t="inlineStr">
        <is>
          <t>Framo</t>
        </is>
      </c>
      <c r="J16" s="2" t="inlineStr">
        <is>
          <t>Sigurd</t>
        </is>
      </c>
      <c r="K16" s="2" t="inlineStr">
        <is>
          <t>Medium</t>
        </is>
      </c>
      <c r="L16" s="2" t="inlineStr">
        <is>
          <t>Open</t>
        </is>
      </c>
      <c r="M16" s="2" t="inlineStr">
        <is>
          <t>2026-10-21</t>
        </is>
      </c>
      <c r="N16" s="2" t="inlineStr"/>
      <c r="O16" s="2" t="inlineStr"/>
    </row>
    <row r="17">
      <c r="A17" s="2" t="inlineStr">
        <is>
          <t>IN-13</t>
        </is>
      </c>
      <c r="B17" s="2" t="inlineStr">
        <is>
          <t>Inlet</t>
        </is>
      </c>
      <c r="C17" s="2" t="inlineStr">
        <is>
          <t>Both</t>
        </is>
      </c>
      <c r="D17" s="2" t="inlineStr">
        <is>
          <t>Missing info</t>
        </is>
      </c>
      <c r="E17" s="2" t="inlineStr">
        <is>
          <t>Framo autonomous behaviour</t>
        </is>
      </c>
      <c r="F17" s="2" t="inlineStr">
        <is>
          <t>Need: HOLD preset speed, start-up ramp speed (LIC01 tracks it), whether Available excludes DriveNotInRemote/PumpStopped, engineering units of VelocitySetpoint/MotorVelocity (FD assumes 40-130 rpm).</t>
        </is>
      </c>
      <c r="G17" s="2" t="inlineStr">
        <is>
          <t>FD §3.2.1-3.2.2</t>
        </is>
      </c>
      <c r="H17" s="2" t="inlineStr"/>
      <c r="I17" s="2" t="inlineStr">
        <is>
          <t>Framo</t>
        </is>
      </c>
      <c r="J17" s="2" t="inlineStr">
        <is>
          <t>Sigurd</t>
        </is>
      </c>
      <c r="K17" s="2" t="inlineStr">
        <is>
          <t>High</t>
        </is>
      </c>
      <c r="L17" s="2" t="inlineStr">
        <is>
          <t>Open</t>
        </is>
      </c>
      <c r="M17" s="2" t="inlineStr">
        <is>
          <t>2026-10-21</t>
        </is>
      </c>
      <c r="N17" s="2" t="inlineStr"/>
      <c r="O17" s="2" t="inlineStr"/>
    </row>
    <row r="18">
      <c r="A18" s="2" t="inlineStr">
        <is>
          <t>IN-14</t>
        </is>
      </c>
      <c r="B18" s="2" t="inlineStr">
        <is>
          <t>Inlet</t>
        </is>
      </c>
      <c r="C18" s="2" t="inlineStr">
        <is>
          <t>Both</t>
        </is>
      </c>
      <c r="D18" s="2" t="inlineStr">
        <is>
          <t>Decision</t>
        </is>
      </c>
      <c r="E18" s="2" t="inlineStr">
        <is>
          <t>Emergency stop chain</t>
        </is>
      </c>
      <c r="F18" s="2" t="inlineStr">
        <is>
          <t>Framo E-stops are in series and stop all lines (Aksjonsliste #16). Confirm intended; oxygen stop on E-stop must go through Heimdall PLC.</t>
        </is>
      </c>
      <c r="G18" s="2" t="inlineStr">
        <is>
          <t>Aksjonsliste #16</t>
        </is>
      </c>
      <c r="H18" s="2" t="inlineStr"/>
      <c r="I18" s="2" t="inlineStr">
        <is>
          <t>Internal / Framo</t>
        </is>
      </c>
      <c r="J18" s="2" t="inlineStr">
        <is>
          <t>Project</t>
        </is>
      </c>
      <c r="K18" s="2" t="inlineStr">
        <is>
          <t>Medium</t>
        </is>
      </c>
      <c r="L18" s="2" t="inlineStr">
        <is>
          <t>Open</t>
        </is>
      </c>
      <c r="M18" s="2" t="inlineStr">
        <is>
          <t>2026-10-21</t>
        </is>
      </c>
      <c r="N18" s="2" t="inlineStr"/>
      <c r="O18" s="2" t="inlineStr"/>
    </row>
    <row r="19">
      <c r="A19" s="2" t="inlineStr">
        <is>
          <t>IN-15</t>
        </is>
      </c>
      <c r="B19" s="2" t="inlineStr">
        <is>
          <t>Inlet</t>
        </is>
      </c>
      <c r="C19" s="2" t="inlineStr">
        <is>
          <t>Both</t>
        </is>
      </c>
      <c r="D19" s="2" t="inlineStr">
        <is>
          <t>Decision</t>
        </is>
      </c>
      <c r="E19" s="2" t="inlineStr">
        <is>
          <t>Functions on HOLD in FD</t>
        </is>
      </c>
      <c r="F19" s="2" t="inlineStr">
        <is>
          <t>Automatic pump start/stop on LIC output, pump rotation (#18), manual level setpoint, auto outlet close on pump stop, E-stop alarm.</t>
        </is>
      </c>
      <c r="G19" s="2" t="inlineStr">
        <is>
          <t>FD rev B HOLD marks</t>
        </is>
      </c>
      <c r="H19" s="2" t="inlineStr"/>
      <c r="I19" s="2" t="inlineStr">
        <is>
          <t>Internal</t>
        </is>
      </c>
      <c r="J19" s="2" t="inlineStr">
        <is>
          <t>Project</t>
        </is>
      </c>
      <c r="K19" s="2" t="inlineStr">
        <is>
          <t>Medium</t>
        </is>
      </c>
      <c r="L19" s="2" t="inlineStr">
        <is>
          <t>In progress</t>
        </is>
      </c>
      <c r="M19" s="2" t="inlineStr">
        <is>
          <t>2026-10-21</t>
        </is>
      </c>
      <c r="N19" s="2" t="inlineStr">
        <is>
          <t>Automatic pump start/stop and rotation implemented in CODESYS 2026-10-22 (not yet downloaded/tested), InletSupervisor.PumpCount: candidates = InletConfig[i].InletPump.Enable AND auto AND not UNAVAILABLE/LOCKDOWN. Pen Start starts all candidates; with LIC01 in auto and no pump changing: stop the pump with most running days when the others would run &lt;= PumpTargetSpeed (85 rpm) for PumpRemoveDelay (15 min); start the standby with fewest running days when the share &gt;= PumpAddSpeed (115 rpm) for PumpAddDelay (2 min); rotation after PumpCycleTime (24 h) in REMOTE, make-before-break. Settings retained in PenConfig (Reset Origin on next download). Still open from the HOLD list: manual level setpoint, auto outlet close on pump stop, E-stop alarm.</t>
        </is>
      </c>
      <c r="O19" s="2" t="inlineStr"/>
    </row>
    <row r="20">
      <c r="A20" s="2" t="inlineStr">
        <is>
          <t>IN-16</t>
        </is>
      </c>
      <c r="B20" s="2" t="inlineStr">
        <is>
          <t>Inlet</t>
        </is>
      </c>
      <c r="C20" s="2" t="inlineStr">
        <is>
          <t>Both</t>
        </is>
      </c>
      <c r="D20" s="2" t="inlineStr">
        <is>
          <t>Inconsistency</t>
        </is>
      </c>
      <c r="E20" s="2" t="inlineStr">
        <is>
          <t>Tag numbering</t>
        </is>
      </c>
      <c r="F20" s="2" t="inlineStr">
        <is>
          <t>FD motor table nn-PM01..03 / PU01..03 vs inlet and oxygen sections PM31..33 / PU41..43. Align with P&amp;ID rev A.</t>
        </is>
      </c>
      <c r="G20" s="2" t="inlineStr">
        <is>
          <t>FD rev B; CAS PID and loop diagrams rev A</t>
        </is>
      </c>
      <c r="H20" s="2" t="inlineStr"/>
      <c r="I20" s="2" t="inlineStr">
        <is>
          <t>Internal</t>
        </is>
      </c>
      <c r="J20" s="2" t="inlineStr">
        <is>
          <t>Sigurd</t>
        </is>
      </c>
      <c r="K20" s="2" t="inlineStr">
        <is>
          <t>Low</t>
        </is>
      </c>
      <c r="L20" s="2" t="inlineStr">
        <is>
          <t>Open</t>
        </is>
      </c>
      <c r="M20" s="2" t="inlineStr">
        <is>
          <t>2026-10-21</t>
        </is>
      </c>
      <c r="N20" s="2" t="inlineStr"/>
      <c r="O20" s="2" t="inlineStr"/>
    </row>
    <row r="21">
      <c r="A21" s="2" t="inlineStr">
        <is>
          <t>IN-17</t>
        </is>
      </c>
      <c r="B21" s="2" t="inlineStr">
        <is>
          <t>Inlet</t>
        </is>
      </c>
      <c r="C21" s="2" t="inlineStr">
        <is>
          <t>Software</t>
        </is>
      </c>
      <c r="D21" s="2" t="inlineStr">
        <is>
          <t>Code bug</t>
        </is>
      </c>
      <c r="E21" s="2" t="inlineStr">
        <is>
          <t>Old OPC UA node name SpeedSetpoint</t>
        </is>
      </c>
      <c r="F21" s="2" t="inlineStr">
        <is>
          <t>PRG.FramoDataProcessing writes Framo_n.SpeedSetpoint; Framo rev B names it VelocitySetpoint.</t>
        </is>
      </c>
      <c r="G21" s="2" t="inlineStr">
        <is>
          <t>PRG.FramoDataProcessing</t>
        </is>
      </c>
      <c r="H21" s="2" t="inlineStr"/>
      <c r="I21" s="2" t="inlineStr">
        <is>
          <t>Internal</t>
        </is>
      </c>
      <c r="J21" s="2" t="inlineStr">
        <is>
          <t>Sigurd</t>
        </is>
      </c>
      <c r="K21" s="2" t="inlineStr">
        <is>
          <t>Medium</t>
        </is>
      </c>
      <c r="L21" s="2" t="inlineStr">
        <is>
          <t>Open</t>
        </is>
      </c>
      <c r="M21" s="2" t="inlineStr">
        <is>
          <t>2026-10-21</t>
        </is>
      </c>
      <c r="N21" s="2" t="inlineStr"/>
      <c r="O21" s="2" t="inlineStr"/>
    </row>
    <row r="22">
      <c r="A22" s="2" t="inlineStr">
        <is>
          <t>IN-18</t>
        </is>
      </c>
      <c r="B22" s="2" t="inlineStr">
        <is>
          <t>Inlet</t>
        </is>
      </c>
      <c r="C22" s="2" t="inlineStr">
        <is>
          <t>Software</t>
        </is>
      </c>
      <c r="D22" s="2" t="inlineStr">
        <is>
          <t>Code bug</t>
        </is>
      </c>
      <c r="E22" s="2" t="inlineStr">
        <is>
          <t>LIC01 integral windup at speed limit</t>
        </is>
      </c>
      <c r="F22" s="2" t="inlineStr">
        <is>
          <t>Integral keeps building while output is clamped at 130 rpm (seen in sim 2026-10-21 after a pump trip); causes overshoot when the pump returns.</t>
        </is>
      </c>
      <c r="G22" s="2" t="inlineStr">
        <is>
          <t>Sim test 2026-10-21; FB.Inlet.InletSupervisor LIC01</t>
        </is>
      </c>
      <c r="H22" s="2" t="inlineStr">
        <is>
          <t>Anti-windup / conditional integration</t>
        </is>
      </c>
      <c r="I22" s="2" t="inlineStr">
        <is>
          <t>Internal</t>
        </is>
      </c>
      <c r="J22" s="2" t="inlineStr">
        <is>
          <t>Sigurd</t>
        </is>
      </c>
      <c r="K22" s="2" t="inlineStr">
        <is>
          <t>Medium</t>
        </is>
      </c>
      <c r="L22" s="2" t="inlineStr">
        <is>
          <t>Closed</t>
        </is>
      </c>
      <c r="M22" s="2" t="inlineStr">
        <is>
          <t>2026-10-21</t>
        </is>
      </c>
      <c r="N22" s="2" t="inlineStr">
        <is>
          <t>Not a bug. Util.PID adapts the integral while the output is limited (anti-windup). Sim test 2026-10-22: one of three pumps out, LIC01 output rose 74 -&gt; 107 rpm and never reached 130 (LimitsActive FALSE). The dip/overshoot is the missing compensation of the pump count, see IN-05.</t>
        </is>
      </c>
      <c r="O22" s="2" t="inlineStr">
        <is>
          <t>2026-10-22</t>
        </is>
      </c>
    </row>
    <row r="23">
      <c r="A23" s="2" t="inlineStr">
        <is>
          <t>IN-19</t>
        </is>
      </c>
      <c r="B23" s="2" t="inlineStr">
        <is>
          <t>Inlet</t>
        </is>
      </c>
      <c r="C23" s="2" t="inlineStr">
        <is>
          <t>Software</t>
        </is>
      </c>
      <c r="D23" s="2" t="inlineStr">
        <is>
          <t>Code bug</t>
        </is>
      </c>
      <c r="E23" s="2" t="inlineStr">
        <is>
          <t>RIO link loss freezes level</t>
        </is>
      </c>
      <c r="F23" s="2" t="inlineStr">
        <is>
          <t>When an InletRIO link is lost the last level values are kept and the pair is not invalidated, so LIC01 controls on a frozen level.</t>
        </is>
      </c>
      <c r="G23" s="2" t="inlineStr">
        <is>
          <t>CAS FD Inlet OI17; FB.Inlet.InletSensors</t>
        </is>
      </c>
      <c r="H23" s="2" t="inlineStr">
        <is>
          <t>Invalidate pair on RIO comm loss</t>
        </is>
      </c>
      <c r="I23" s="2" t="inlineStr">
        <is>
          <t>Internal</t>
        </is>
      </c>
      <c r="J23" s="2" t="inlineStr">
        <is>
          <t>Sigurd</t>
        </is>
      </c>
      <c r="K23" s="2" t="inlineStr">
        <is>
          <t>High</t>
        </is>
      </c>
      <c r="L23" s="2" t="inlineStr">
        <is>
          <t>Fixed</t>
        </is>
      </c>
      <c r="M23" s="2" t="inlineStr">
        <is>
          <t>2026-10-21</t>
        </is>
      </c>
      <c r="N23" s="2" t="inlineStr">
        <is>
          <t>Fixed in CODESYS 2026-10-22: InletControl / InletSensors get RIOCommOK = GVLIO.InletRIO[i].Status.CommOK; without it both transmitters of that inlet count as BadQuality, so only that pair drops out of LIC01's PV (all three lost -&gt; LevelMeasurementLost, SafeOutput). Sim test 2026-10-22 (PFC200 vs CAS plant 10.1.2.150): pair 1 out for 60 s with 3 pumps in REMOTE, PV continued on pairs 2-3, LIC01 output 74.1-74.3 rpm, pair back without a jump. Realistic link-down test (5 s socket timeout) with the simulator fault of heimdall-cas-simulation PR #17.</t>
        </is>
      </c>
      <c r="O23" s="2" t="inlineStr">
        <is>
          <t>2026-10-22</t>
        </is>
      </c>
    </row>
    <row r="24">
      <c r="A24" s="2" t="inlineStr">
        <is>
          <t>IN-20</t>
        </is>
      </c>
      <c r="B24" s="2" t="inlineStr">
        <is>
          <t>Inlet</t>
        </is>
      </c>
      <c r="C24" s="2" t="inlineStr">
        <is>
          <t>Software</t>
        </is>
      </c>
      <c r="D24" s="2" t="inlineStr">
        <is>
          <t>PLC gap</t>
        </is>
      </c>
      <c r="E24" s="2" t="inlineStr">
        <is>
          <t>Interlocks I2 and I3 missing</t>
        </is>
      </c>
      <c r="F24" s="2" t="inlineStr">
        <is>
          <t>I2: 2oo3 LS7nmHH stops the pump; I3: group start only with the outlet open. Neither is in the PLC.</t>
        </is>
      </c>
      <c r="G24" s="2" t="inlineStr">
        <is>
          <t>CAS FD Inlet OI20; FD rev B</t>
        </is>
      </c>
      <c r="H24" s="2" t="inlineStr"/>
      <c r="I24" s="2" t="inlineStr">
        <is>
          <t>Internal</t>
        </is>
      </c>
      <c r="J24" s="2" t="inlineStr">
        <is>
          <t>Sigurd</t>
        </is>
      </c>
      <c r="K24" s="2" t="inlineStr">
        <is>
          <t>High</t>
        </is>
      </c>
      <c r="L24" s="2" t="inlineStr">
        <is>
          <t>Open</t>
        </is>
      </c>
      <c r="M24" s="2" t="inlineStr">
        <is>
          <t>2026-10-21</t>
        </is>
      </c>
      <c r="N24" s="2" t="inlineStr"/>
      <c r="O24" s="2" t="inlineStr"/>
    </row>
    <row r="25">
      <c r="A25" s="2" t="inlineStr">
        <is>
          <t>IN-21</t>
        </is>
      </c>
      <c r="B25" s="2" t="inlineStr">
        <is>
          <t>Inlet</t>
        </is>
      </c>
      <c r="C25" s="2" t="inlineStr">
        <is>
          <t>Software</t>
        </is>
      </c>
      <c r="D25" s="2" t="inlineStr">
        <is>
          <t>Code bug</t>
        </is>
      </c>
      <c r="E25" s="2" t="inlineStr">
        <is>
          <t>Task watchdogs disabled</t>
        </is>
      </c>
      <c r="F25" s="2" t="inlineStr">
        <is>
          <t>Main task 20 ms, OPC_Processing and Datasources 50 ms; watchdogs off in PFC200_Sim.</t>
        </is>
      </c>
      <c r="G25" s="2" t="inlineStr">
        <is>
          <t>CAS FD Inlet OI23; task configuration</t>
        </is>
      </c>
      <c r="H25" s="2" t="inlineStr">
        <is>
          <t>Enable with margin</t>
        </is>
      </c>
      <c r="I25" s="2" t="inlineStr">
        <is>
          <t>Internal</t>
        </is>
      </c>
      <c r="J25" s="2" t="inlineStr">
        <is>
          <t>Sigurd</t>
        </is>
      </c>
      <c r="K25" s="2" t="inlineStr">
        <is>
          <t>Medium</t>
        </is>
      </c>
      <c r="L25" s="2" t="inlineStr">
        <is>
          <t>Open</t>
        </is>
      </c>
      <c r="M25" s="2" t="inlineStr">
        <is>
          <t>2026-10-21</t>
        </is>
      </c>
      <c r="N25" s="2" t="inlineStr"/>
      <c r="O25" s="2" t="inlineStr"/>
    </row>
    <row r="26">
      <c r="A26" s="2" t="inlineStr">
        <is>
          <t>IN-22</t>
        </is>
      </c>
      <c r="B26" s="2" t="inlineStr">
        <is>
          <t>Inlet</t>
        </is>
      </c>
      <c r="C26" s="2" t="inlineStr">
        <is>
          <t>Software</t>
        </is>
      </c>
      <c r="D26" s="2" t="inlineStr">
        <is>
          <t>PLC gap</t>
        </is>
      </c>
      <c r="E26" s="2" t="inlineStr">
        <is>
          <t>Level setpoint not from operating mode</t>
        </is>
      </c>
      <c r="F26" s="2" t="inlineStr">
        <is>
          <t>FD: setpoint follows the operating mode (O-35/O-45/O-60/S-75). PLC uses an operator setpoint only.</t>
        </is>
      </c>
      <c r="G26" s="2" t="inlineStr">
        <is>
          <t>CAS FD Inlet OI14</t>
        </is>
      </c>
      <c r="H26" s="2" t="inlineStr"/>
      <c r="I26" s="2" t="inlineStr">
        <is>
          <t>Internal</t>
        </is>
      </c>
      <c r="J26" s="2" t="inlineStr">
        <is>
          <t>Sigurd</t>
        </is>
      </c>
      <c r="K26" s="2" t="inlineStr">
        <is>
          <t>Medium</t>
        </is>
      </c>
      <c r="L26" s="2" t="inlineStr">
        <is>
          <t>Open</t>
        </is>
      </c>
      <c r="M26" s="2" t="inlineStr">
        <is>
          <t>2026-10-21</t>
        </is>
      </c>
      <c r="N26" s="2" t="inlineStr"/>
      <c r="O26" s="2" t="inlineStr"/>
    </row>
    <row r="27">
      <c r="A27" s="2" t="inlineStr">
        <is>
          <t>IN-23</t>
        </is>
      </c>
      <c r="B27" s="2" t="inlineStr">
        <is>
          <t>Inlet</t>
        </is>
      </c>
      <c r="C27" s="2" t="inlineStr">
        <is>
          <t>Software</t>
        </is>
      </c>
      <c r="D27" s="2" t="inlineStr">
        <is>
          <t>PLC gap</t>
        </is>
      </c>
      <c r="E27" s="2" t="inlineStr">
        <is>
          <t>Restart after power failure</t>
        </is>
      </c>
      <c r="F27" s="2" t="inlineStr">
        <is>
          <t>FD 'Motor-Forrigling' + motor table T3/T4: motors that were running restart after a power cut, larger ones in sequence (1 hydraulic pump, 2a/2b/2c inlet pumps, 3 oxygenator pumps; vacuum J01A-C auto-restart). PLC: PenStart is not retained, so after a PLC power loss nothing restarts; if only the Framo cabinets lose power, all pumps restart together once Available. Needs a retained 'was running' state per motor and the restart sequence with delays.</t>
        </is>
      </c>
      <c r="G27" s="2" t="inlineStr">
        <is>
          <t>FD rev B 'Motor-Forrigling', Tabell T3/T4; CAS FD Inlet OI16; FB.Inlet.InletSupervisor (PenStart)</t>
        </is>
      </c>
      <c r="H27" s="2" t="inlineStr"/>
      <c r="I27" s="2" t="inlineStr">
        <is>
          <t>Internal</t>
        </is>
      </c>
      <c r="J27" s="2" t="inlineStr">
        <is>
          <t>Sigurd</t>
        </is>
      </c>
      <c r="K27" s="2" t="inlineStr">
        <is>
          <t>Medium</t>
        </is>
      </c>
      <c r="L27" s="2" t="inlineStr">
        <is>
          <t>Open</t>
        </is>
      </c>
      <c r="M27" s="2" t="inlineStr">
        <is>
          <t>2026-10-21</t>
        </is>
      </c>
      <c r="N27" s="2" t="inlineStr"/>
      <c r="O27" s="2" t="inlineStr"/>
    </row>
    <row r="28">
      <c r="A28" s="2" t="inlineStr">
        <is>
          <t>IN-24</t>
        </is>
      </c>
      <c r="B28" s="2" t="inlineStr">
        <is>
          <t>Inlet</t>
        </is>
      </c>
      <c r="C28" s="2" t="inlineStr">
        <is>
          <t>Physical</t>
        </is>
      </c>
      <c r="D28" s="2" t="inlineStr">
        <is>
          <t>Missing info</t>
        </is>
      </c>
      <c r="E28" s="2" t="inlineStr">
        <is>
          <t>Level transmitter signal direction and model</t>
        </is>
      </c>
      <c r="F28" s="2" t="inlineStr">
        <is>
          <t>4 mA = low or high? VEGAPULS C21 vs C22; outside full scale assumed 2 m.</t>
        </is>
      </c>
      <c r="G28" s="2" t="inlineStr">
        <is>
          <t>CAS FD Inlet OI18; Sensors folder</t>
        </is>
      </c>
      <c r="H28" s="2" t="inlineStr"/>
      <c r="I28" s="2" t="inlineStr">
        <is>
          <t>Internal</t>
        </is>
      </c>
      <c r="J28" s="2" t="inlineStr">
        <is>
          <t>Sigurd</t>
        </is>
      </c>
      <c r="K28" s="2" t="inlineStr">
        <is>
          <t>Medium</t>
        </is>
      </c>
      <c r="L28" s="2" t="inlineStr">
        <is>
          <t>Open</t>
        </is>
      </c>
      <c r="M28" s="2" t="inlineStr">
        <is>
          <t>2026-10-21</t>
        </is>
      </c>
      <c r="N28" s="2" t="inlineStr"/>
      <c r="O28" s="2" t="inlineStr"/>
    </row>
    <row r="29">
      <c r="A29" s="2" t="inlineStr">
        <is>
          <t>IN-25</t>
        </is>
      </c>
      <c r="B29" s="2" t="inlineStr">
        <is>
          <t>Inlet</t>
        </is>
      </c>
      <c r="C29" s="2" t="inlineStr">
        <is>
          <t>Both</t>
        </is>
      </c>
      <c r="D29" s="2" t="inlineStr">
        <is>
          <t>Missing info</t>
        </is>
      </c>
      <c r="E29" s="2" t="inlineStr">
        <is>
          <t>IP plan and network drawing</t>
        </is>
      </c>
      <c r="F29" s="2" t="inlineStr">
        <is>
          <t>No IP plan or network drawing for PLC, RIOs, Framo controllers, drives and HMI.</t>
        </is>
      </c>
      <c r="G29" s="2" t="inlineStr">
        <is>
          <t>CAS FD Inlet OI23</t>
        </is>
      </c>
      <c r="H29" s="2" t="inlineStr"/>
      <c r="I29" s="2" t="inlineStr">
        <is>
          <t>Internal</t>
        </is>
      </c>
      <c r="J29" s="2" t="inlineStr">
        <is>
          <t>Project</t>
        </is>
      </c>
      <c r="K29" s="2" t="inlineStr">
        <is>
          <t>Medium</t>
        </is>
      </c>
      <c r="L29" s="2" t="inlineStr">
        <is>
          <t>Open</t>
        </is>
      </c>
      <c r="M29" s="2" t="inlineStr">
        <is>
          <t>2026-10-21</t>
        </is>
      </c>
      <c r="N29" s="2" t="inlineStr"/>
      <c r="O29" s="2" t="inlineStr"/>
    </row>
    <row r="30">
      <c r="A30" s="2" t="inlineStr">
        <is>
          <t>IN-26</t>
        </is>
      </c>
      <c r="B30" s="2" t="inlineStr">
        <is>
          <t>Inlet</t>
        </is>
      </c>
      <c r="C30" s="2" t="inlineStr">
        <is>
          <t>Physical</t>
        </is>
      </c>
      <c r="D30" s="2" t="inlineStr">
        <is>
          <t>Inconsistency</t>
        </is>
      </c>
      <c r="E30" s="2" t="inlineStr">
        <is>
          <t>Framo hardware designations</t>
        </is>
      </c>
      <c r="F30" s="2" t="inlineStr">
        <is>
          <t>Framo spec rev B CX8190 vs drawing 874.001 CX8200; SX1000 vs SR2000 pump.</t>
        </is>
      </c>
      <c r="G30" s="2" t="inlineStr">
        <is>
          <t>CAS FD Inlet OI19; 15169-874.001</t>
        </is>
      </c>
      <c r="H30" s="2" t="inlineStr"/>
      <c r="I30" s="2" t="inlineStr">
        <is>
          <t>Framo</t>
        </is>
      </c>
      <c r="J30" s="2" t="inlineStr">
        <is>
          <t>Sigurd</t>
        </is>
      </c>
      <c r="K30" s="2" t="inlineStr">
        <is>
          <t>Low</t>
        </is>
      </c>
      <c r="L30" s="2" t="inlineStr">
        <is>
          <t>Open</t>
        </is>
      </c>
      <c r="M30" s="2" t="inlineStr">
        <is>
          <t>2026-10-21</t>
        </is>
      </c>
      <c r="N30" s="2" t="inlineStr"/>
      <c r="O30" s="2" t="inlineStr"/>
    </row>
    <row r="31">
      <c r="A31" s="2" t="inlineStr">
        <is>
          <t>IN-27</t>
        </is>
      </c>
      <c r="B31" s="2" t="inlineStr">
        <is>
          <t>Inlet</t>
        </is>
      </c>
      <c r="C31" s="2" t="inlineStr">
        <is>
          <t>Software</t>
        </is>
      </c>
      <c r="D31" s="2" t="inlineStr">
        <is>
          <t>Decision</t>
        </is>
      </c>
      <c r="E31" s="2" t="inlineStr">
        <is>
          <t>Restart after a pump trip</t>
        </is>
      </c>
      <c r="F31" s="2" t="inlineStr">
        <is>
          <t>Should a tripped inlet pump restart by itself?</t>
        </is>
      </c>
      <c r="G31" s="2" t="inlineStr">
        <is>
          <t>FD rev B §3.2.1, Tabell 6 (LOCKDOWN), 'Motor-Forrigling'</t>
        </is>
      </c>
      <c r="H31" s="2" t="inlineStr"/>
      <c r="I31" s="2" t="inlineStr">
        <is>
          <t>Internal</t>
        </is>
      </c>
      <c r="J31" s="2" t="inlineStr">
        <is>
          <t>Project</t>
        </is>
      </c>
      <c r="K31" s="2" t="inlineStr">
        <is>
          <t>Low</t>
        </is>
      </c>
      <c r="L31" s="2" t="inlineStr">
        <is>
          <t>Decided</t>
        </is>
      </c>
      <c r="M31" s="2" t="inlineStr">
        <is>
          <t>2026-10-21</t>
        </is>
      </c>
      <c r="N31" s="2" t="inlineStr">
        <is>
          <t>Given by FD rev B: a fault gives LOCKDOWN; the operator sends Reset after fixing it; the pump then restarts while group start (Pen Start) is active. PLC complies (start request stays latched; seen in sim 2026-10-21).</t>
        </is>
      </c>
      <c r="O31" s="2" t="inlineStr">
        <is>
          <t>2026-10-21</t>
        </is>
      </c>
    </row>
    <row r="32">
      <c r="A32" s="2" t="inlineStr">
        <is>
          <t>IN-28</t>
        </is>
      </c>
      <c r="B32" s="2" t="inlineStr">
        <is>
          <t>Inlet</t>
        </is>
      </c>
      <c r="C32" s="2" t="inlineStr">
        <is>
          <t>Both</t>
        </is>
      </c>
      <c r="D32" s="2" t="inlineStr">
        <is>
          <t>Decision</t>
        </is>
      </c>
      <c r="E32" s="2" t="inlineStr">
        <is>
          <t>Emergency stop as interlock with auto-restart</t>
        </is>
      </c>
      <c r="F32" s="2" t="inlineStr">
        <is>
          <t>FD motor table lists emergency stop as the interlock for PM01-03, PU01-03 and XV01-M01, and 'Motor-Forrigling' says a motor stopped by an interlock in auto restarts automatically when the interlock clears (group start still active). Read literally, pumps restart when the E-stop is released — normally an E-stop reset requires a deliberate restart. Framo E-stops are in series across all lines.</t>
        </is>
      </c>
      <c r="G32" s="2" t="inlineStr">
        <is>
          <t>FD rev B 'Motor-Forrigling', Tabell T3; Aksjonsliste #16</t>
        </is>
      </c>
      <c r="H32" s="2" t="inlineStr">
        <is>
          <t>E-stop release requires operator restart (recommended) / auto-restart as FD</t>
        </is>
      </c>
      <c r="I32" s="2" t="inlineStr">
        <is>
          <t>Internal / Framo</t>
        </is>
      </c>
      <c r="J32" s="2" t="inlineStr">
        <is>
          <t>Project</t>
        </is>
      </c>
      <c r="K32" s="2" t="inlineStr">
        <is>
          <t>High</t>
        </is>
      </c>
      <c r="L32" s="2" t="inlineStr">
        <is>
          <t>Open</t>
        </is>
      </c>
      <c r="M32" s="2" t="inlineStr">
        <is>
          <t>2026-10-21</t>
        </is>
      </c>
      <c r="N32" s="2" t="inlineStr"/>
      <c r="O32" s="2" t="inlineStr"/>
    </row>
    <row r="33">
      <c r="A33" s="2" t="inlineStr">
        <is>
          <t>IN-29</t>
        </is>
      </c>
      <c r="B33" s="2" t="inlineStr">
        <is>
          <t>Inlet</t>
        </is>
      </c>
      <c r="C33" s="2" t="inlineStr">
        <is>
          <t>Software</t>
        </is>
      </c>
      <c r="D33" s="2" t="inlineStr">
        <is>
          <t>PLC gap</t>
        </is>
      </c>
      <c r="E33" s="2" t="inlineStr">
        <is>
          <t>Reset to Framo held until state change</t>
        </is>
      </c>
      <c r="F33" s="2" t="inlineStr">
        <is>
          <t>HMI Reset was passed straight through as a level and never cleared by the PLC; a 1 s HMI pulse could be lost in the OPC UA data source.</t>
        </is>
      </c>
      <c r="G33" s="2" t="inlineStr">
        <is>
          <t>FB.Inlet.InletControl; InletConfigDUT.ResetExpectedTime; InletPumpAlarmDUT.FailedToReset</t>
        </is>
      </c>
      <c r="H33" s="2" t="inlineStr"/>
      <c r="I33" s="2" t="inlineStr">
        <is>
          <t>Internal</t>
        </is>
      </c>
      <c r="J33" s="2" t="inlineStr">
        <is>
          <t>Sigurd</t>
        </is>
      </c>
      <c r="K33" s="2" t="inlineStr">
        <is>
          <t>Medium</t>
        </is>
      </c>
      <c r="L33" s="2" t="inlineStr">
        <is>
          <t>Fixed</t>
        </is>
      </c>
      <c r="M33" s="2" t="inlineStr">
        <is>
          <t>2026-10-21</t>
        </is>
      </c>
      <c r="N33" s="2" t="inlineStr">
        <is>
          <t>Fixed in CODESYS 2026-10-21 (FB.Inlet.InletControl): Command.Reset accepted in HOLD/LOCKDOWN, latched as ResetRequest and cleared when the state change is seen; no change within 2 x InletConfig.ResetExpectedTime (default 5 s) -&gt; Reset withdrawn and warning Alarm.FailedToReset (AutoAcknowledge). Command.Reset is exported read/write over OPC UA (checked on 10.1.2.41). Pre-compile clean; full compile and sim test pending.</t>
        </is>
      </c>
      <c r="O33" s="2" t="inlineStr">
        <is>
          <t>2026-10-21</t>
        </is>
      </c>
    </row>
    <row r="34">
      <c r="A34" s="2" t="inlineStr">
        <is>
          <t>IN-30</t>
        </is>
      </c>
      <c r="B34" s="2" t="inlineStr">
        <is>
          <t>Inlet</t>
        </is>
      </c>
      <c r="C34" s="2" t="inlineStr">
        <is>
          <t>Software</t>
        </is>
      </c>
      <c r="D34" s="2" t="inlineStr">
        <is>
          <t>PLC gap</t>
        </is>
      </c>
      <c r="E34" s="2" t="inlineStr">
        <is>
          <t>Reset button on the HMI</t>
        </is>
      </c>
      <c r="F34" s="2" t="inlineStr">
        <is>
          <t>No way for the operator to give Reset to the Framo controller (FD 3.2.1: Reset from the HMI).</t>
        </is>
      </c>
      <c r="G34" s="2" t="inlineStr">
        <is>
          <t>heimdall-cas-hmi PR #5 (task/inlet-pump-reset-button); CAS FD Inlet OI24</t>
        </is>
      </c>
      <c r="H34" s="2" t="inlineStr"/>
      <c r="I34" s="2" t="inlineStr">
        <is>
          <t>Internal</t>
        </is>
      </c>
      <c r="J34" s="2" t="inlineStr">
        <is>
          <t>Sigurd</t>
        </is>
      </c>
      <c r="K34" s="2" t="inlineStr">
        <is>
          <t>Medium</t>
        </is>
      </c>
      <c r="L34" s="2" t="inlineStr">
        <is>
          <t>In progress</t>
        </is>
      </c>
      <c r="M34" s="2" t="inlineStr">
        <is>
          <t>2026-10-21</t>
        </is>
      </c>
      <c r="N34" s="2" t="inlineStr">
        <is>
          <t>Test HMI: Reset button per inlet pump, enabled in HOLD/LOCKDOWN, with confirmation (PR #5, open). Production HMI needs the same.</t>
        </is>
      </c>
      <c r="O34" s="2" t="inlineStr"/>
    </row>
    <row r="35">
      <c r="A35" s="2" t="inlineStr">
        <is>
          <t>OX-01</t>
        </is>
      </c>
      <c r="B35" s="2" t="inlineStr">
        <is>
          <t>Oxygen</t>
        </is>
      </c>
      <c r="C35" s="2" t="inlineStr">
        <is>
          <t>Physical</t>
        </is>
      </c>
      <c r="D35" s="2" t="inlineStr">
        <is>
          <t>Decision</t>
        </is>
      </c>
      <c r="E35" s="2" t="inlineStr">
        <is>
          <t>Oxygen supplier</t>
        </is>
      </c>
      <c r="F35" s="2" t="inlineStr">
        <is>
          <t>Supplier for oxygen chosen.</t>
        </is>
      </c>
      <c r="G35" s="2" t="inlineStr">
        <is>
          <t>Project meeting 2026-10-21</t>
        </is>
      </c>
      <c r="H35" s="2" t="inlineStr"/>
      <c r="I35" s="2" t="inlineStr">
        <is>
          <t>Internal</t>
        </is>
      </c>
      <c r="J35" s="2" t="inlineStr">
        <is>
          <t>Project</t>
        </is>
      </c>
      <c r="K35" s="2" t="inlineStr">
        <is>
          <t>High</t>
        </is>
      </c>
      <c r="L35" s="2" t="inlineStr">
        <is>
          <t>Decided</t>
        </is>
      </c>
      <c r="M35" s="2" t="inlineStr">
        <is>
          <t>2026-10-21</t>
        </is>
      </c>
      <c r="N35" s="2" t="inlineStr">
        <is>
          <t>Normex</t>
        </is>
      </c>
      <c r="O35" s="2" t="inlineStr">
        <is>
          <t>2026-10-21</t>
        </is>
      </c>
    </row>
    <row r="36">
      <c r="A36" s="2" t="inlineStr">
        <is>
          <t>OX-02</t>
        </is>
      </c>
      <c r="B36" s="2" t="inlineStr">
        <is>
          <t>Oxygen</t>
        </is>
      </c>
      <c r="C36" s="2" t="inlineStr">
        <is>
          <t>Physical</t>
        </is>
      </c>
      <c r="D36" s="2" t="inlineStr">
        <is>
          <t>Missing info</t>
        </is>
      </c>
      <c r="E36" s="2" t="inlineStr">
        <is>
          <t>Oxygen supply and safety interface (Normex)</t>
        </is>
      </c>
      <c r="F36" s="2" t="inlineStr">
        <is>
          <t>Supply type (LOX / generator / valve panel), normal and minimum supply pressure, low-supply-pressure signal, PLC-controlled master shut-off valve, non-return protection (HAZID: water back into oxygenator and O2 tank). Supply pressure is display-only in the PLC.</t>
        </is>
      </c>
      <c r="G36" s="2" t="inlineStr">
        <is>
          <t>HAZID oksygen; PenControl O2InjectionPressureSensor</t>
        </is>
      </c>
      <c r="H36" s="2" t="inlineStr"/>
      <c r="I36" s="2" t="inlineStr">
        <is>
          <t>Normex</t>
        </is>
      </c>
      <c r="J36" s="2" t="inlineStr">
        <is>
          <t>Sigurd</t>
        </is>
      </c>
      <c r="K36" s="2" t="inlineStr">
        <is>
          <t>High</t>
        </is>
      </c>
      <c r="L36" s="2" t="inlineStr">
        <is>
          <t>Open</t>
        </is>
      </c>
      <c r="M36" s="2" t="inlineStr">
        <is>
          <t>2026-10-21</t>
        </is>
      </c>
      <c r="N36" s="2" t="inlineStr"/>
      <c r="O36" s="2" t="inlineStr"/>
    </row>
    <row r="37">
      <c r="A37" s="2" t="inlineStr">
        <is>
          <t>OX-03</t>
        </is>
      </c>
      <c r="B37" s="2" t="inlineStr">
        <is>
          <t>Oxygen</t>
        </is>
      </c>
      <c r="C37" s="2" t="inlineStr">
        <is>
          <t>Both</t>
        </is>
      </c>
      <c r="D37" s="2" t="inlineStr">
        <is>
          <t>Inconsistency</t>
        </is>
      </c>
      <c r="E37" s="2" t="inlineStr">
        <is>
          <t>O2 control valve type</t>
        </is>
      </c>
      <c r="F37" s="2" t="inlineStr">
        <is>
          <t>FD: PWM solenoid valve 'via 4-20 mA'. PLC: proportional valve 4-20 mA, 4 mA = closed, 2 s ramp. Linde photos show 'pwm_ventil'; Normex sketch (15.10.26) shows a motorised valve. Signal, stroke time, fail position, position feedback unknown.</t>
        </is>
      </c>
      <c r="G37" s="2" t="inlineStr">
        <is>
          <t>FD §3.2.4; FB.OxySystem.OxyControl</t>
        </is>
      </c>
      <c r="H37" s="2" t="inlineStr"/>
      <c r="I37" s="2" t="inlineStr">
        <is>
          <t>Normex</t>
        </is>
      </c>
      <c r="J37" s="2" t="inlineStr">
        <is>
          <t>Sigurd</t>
        </is>
      </c>
      <c r="K37" s="2" t="inlineStr">
        <is>
          <t>High</t>
        </is>
      </c>
      <c r="L37" s="2" t="inlineStr">
        <is>
          <t>Open</t>
        </is>
      </c>
      <c r="M37" s="2" t="inlineStr">
        <is>
          <t>2026-10-21</t>
        </is>
      </c>
      <c r="N37" s="2" t="inlineStr"/>
      <c r="O37" s="2" t="inlineStr"/>
    </row>
    <row r="38">
      <c r="A38" s="2" t="inlineStr">
        <is>
          <t>OX-04</t>
        </is>
      </c>
      <c r="B38" s="2" t="inlineStr">
        <is>
          <t>Oxygen</t>
        </is>
      </c>
      <c r="C38" s="2" t="inlineStr">
        <is>
          <t>Both</t>
        </is>
      </c>
      <c r="D38" s="2" t="inlineStr">
        <is>
          <t>Missing info</t>
        </is>
      </c>
      <c r="E38" s="2" t="inlineStr">
        <is>
          <t>O2 flow meter</t>
        </is>
      </c>
      <c r="F38" s="2" t="inlineStr">
        <is>
          <t>Unit (kg/h or Nl/min), range and signal type. PLC and FIC work in kg/h; FD FIC in l/min.</t>
        </is>
      </c>
      <c r="G38" s="2" t="inlineStr">
        <is>
          <t>FD Tabell 14; ConfigValues</t>
        </is>
      </c>
      <c r="H38" s="2" t="inlineStr"/>
      <c r="I38" s="2" t="inlineStr">
        <is>
          <t>Normex</t>
        </is>
      </c>
      <c r="J38" s="2" t="inlineStr">
        <is>
          <t>Sigurd</t>
        </is>
      </c>
      <c r="K38" s="2" t="inlineStr">
        <is>
          <t>Medium</t>
        </is>
      </c>
      <c r="L38" s="2" t="inlineStr">
        <is>
          <t>Open</t>
        </is>
      </c>
      <c r="M38" s="2" t="inlineStr">
        <is>
          <t>2026-10-21</t>
        </is>
      </c>
      <c r="N38" s="2" t="inlineStr"/>
      <c r="O38" s="2" t="inlineStr"/>
    </row>
    <row r="39">
      <c r="A39" s="2" t="inlineStr">
        <is>
          <t>OX-05</t>
        </is>
      </c>
      <c r="B39" s="2" t="inlineStr">
        <is>
          <t>Oxygen</t>
        </is>
      </c>
      <c r="C39" s="2" t="inlineStr">
        <is>
          <t>Physical</t>
        </is>
      </c>
      <c r="D39" s="2" t="inlineStr">
        <is>
          <t>Missing info</t>
        </is>
      </c>
      <c r="E39" s="2" t="inlineStr">
        <is>
          <t>Injector model and gas ratio</t>
        </is>
      </c>
      <c r="F39" s="2" t="inlineStr">
        <is>
          <t>FlowMax 104.2 kg/h = Chucaotech at 15 % v/v; same model 34.7 kg/h at 5 %. Confirm model, allowed ratio, valve and flow meter range.</t>
        </is>
      </c>
      <c r="G39" s="2" t="inlineStr">
        <is>
          <t>Oppsett innløsere CT.xlsx; ConfigValues OxySystemConfig</t>
        </is>
      </c>
      <c r="H39" s="2" t="inlineStr"/>
      <c r="I39" s="2" t="inlineStr">
        <is>
          <t>Normex / Chucaotech</t>
        </is>
      </c>
      <c r="J39" s="2" t="inlineStr">
        <is>
          <t>Sigurd</t>
        </is>
      </c>
      <c r="K39" s="2" t="inlineStr">
        <is>
          <t>Medium</t>
        </is>
      </c>
      <c r="L39" s="2" t="inlineStr">
        <is>
          <t>Open</t>
        </is>
      </c>
      <c r="M39" s="2" t="inlineStr">
        <is>
          <t>2026-10-21</t>
        </is>
      </c>
      <c r="N39" s="2" t="inlineStr"/>
      <c r="O39" s="2" t="inlineStr"/>
    </row>
    <row r="40">
      <c r="A40" s="2" t="inlineStr">
        <is>
          <t>OX-06</t>
        </is>
      </c>
      <c r="B40" s="2" t="inlineStr">
        <is>
          <t>Oxygen</t>
        </is>
      </c>
      <c r="C40" s="2" t="inlineStr">
        <is>
          <t>Software</t>
        </is>
      </c>
      <c r="D40" s="2" t="inlineStr">
        <is>
          <t>PLC gap</t>
        </is>
      </c>
      <c r="E40" s="2" t="inlineStr">
        <is>
          <t>High-high O2 / supersaturation shut-off</t>
        </is>
      </c>
      <c r="F40" s="2" t="inlineStr">
        <is>
          <t>FD (HOLD) asks oxygenation to close on high-high O2 near the inlet. No HH or TDGP shut-off in OxyControl/InletSupervisor.</t>
        </is>
      </c>
      <c r="G40" s="2" t="inlineStr">
        <is>
          <t>FD §3.2.4</t>
        </is>
      </c>
      <c r="H40" s="2" t="inlineStr">
        <is>
          <t>Decide limits, sensors, latching</t>
        </is>
      </c>
      <c r="I40" s="2" t="inlineStr">
        <is>
          <t>Internal</t>
        </is>
      </c>
      <c r="J40" s="2" t="inlineStr">
        <is>
          <t>Sigurd</t>
        </is>
      </c>
      <c r="K40" s="2" t="inlineStr">
        <is>
          <t>High</t>
        </is>
      </c>
      <c r="L40" s="2" t="inlineStr">
        <is>
          <t>Open</t>
        </is>
      </c>
      <c r="M40" s="2" t="inlineStr">
        <is>
          <t>2026-10-21</t>
        </is>
      </c>
      <c r="N40" s="2" t="inlineStr"/>
      <c r="O40" s="2" t="inlineStr"/>
    </row>
    <row r="41">
      <c r="A41" s="2" t="inlineStr">
        <is>
          <t>OX-07</t>
        </is>
      </c>
      <c r="B41" s="2" t="inlineStr">
        <is>
          <t>Oxygen</t>
        </is>
      </c>
      <c r="C41" s="2" t="inlineStr">
        <is>
          <t>Software</t>
        </is>
      </c>
      <c r="D41" s="2" t="inlineStr">
        <is>
          <t>Decision</t>
        </is>
      </c>
      <c r="E41" s="2" t="inlineStr">
        <is>
          <t>O2 setpoint and unit</t>
        </is>
      </c>
      <c r="F41" s="2" t="inlineStr">
        <is>
          <t>8.0 mg/L is a placeholder. FD asks '% or g/l?'. Sizing sheet uses % saturation (≥80 %, 90 % at 16 °C).</t>
        </is>
      </c>
      <c r="G41" s="2" t="inlineStr">
        <is>
          <t>FD §3.2.4; Beregningsark dimensjonering 17mars26.xlsx</t>
        </is>
      </c>
      <c r="H41" s="2" t="inlineStr">
        <is>
          <t>mg/L vs % saturation (with temperature/salinity)</t>
        </is>
      </c>
      <c r="I41" s="2" t="inlineStr">
        <is>
          <t>Customer / biologist</t>
        </is>
      </c>
      <c r="J41" s="2" t="inlineStr">
        <is>
          <t>Project</t>
        </is>
      </c>
      <c r="K41" s="2" t="inlineStr">
        <is>
          <t>High</t>
        </is>
      </c>
      <c r="L41" s="2" t="inlineStr">
        <is>
          <t>Open</t>
        </is>
      </c>
      <c r="M41" s="2" t="inlineStr">
        <is>
          <t>2026-10-21</t>
        </is>
      </c>
      <c r="N41" s="2" t="inlineStr"/>
      <c r="O41" s="2" t="inlineStr"/>
    </row>
    <row r="42">
      <c r="A42" s="2" t="inlineStr">
        <is>
          <t>OX-08</t>
        </is>
      </c>
      <c r="B42" s="2" t="inlineStr">
        <is>
          <t>Oxygen</t>
        </is>
      </c>
      <c r="C42" s="2" t="inlineStr">
        <is>
          <t>Software</t>
        </is>
      </c>
      <c r="D42" s="2" t="inlineStr">
        <is>
          <t>Decision</t>
        </is>
      </c>
      <c r="E42" s="2" t="inlineStr">
        <is>
          <t>Loss of pen O2 measurement</t>
        </is>
      </c>
      <c r="F42" s="2" t="inlineStr">
        <is>
          <t>OIC01 holds its output indefinitely. FD sentence unfinished ('skal regulatoren…').</t>
        </is>
      </c>
      <c r="G42" s="2" t="inlineStr">
        <is>
          <t>FD §3.2.4; FB.Inlet.InletSupervisor</t>
        </is>
      </c>
      <c r="H42" s="2" t="inlineStr">
        <is>
          <t>Hold / fixed fallback flow / hold for limited time then alarm</t>
        </is>
      </c>
      <c r="I42" s="2" t="inlineStr">
        <is>
          <t>Internal</t>
        </is>
      </c>
      <c r="J42" s="2" t="inlineStr">
        <is>
          <t>Project</t>
        </is>
      </c>
      <c r="K42" s="2" t="inlineStr">
        <is>
          <t>High</t>
        </is>
      </c>
      <c r="L42" s="2" t="inlineStr">
        <is>
          <t>Open</t>
        </is>
      </c>
      <c r="M42" s="2" t="inlineStr">
        <is>
          <t>2026-10-21</t>
        </is>
      </c>
      <c r="N42" s="2" t="inlineStr"/>
      <c r="O42" s="2" t="inlineStr"/>
    </row>
    <row r="43">
      <c r="A43" s="2" t="inlineStr">
        <is>
          <t>OX-09</t>
        </is>
      </c>
      <c r="B43" s="2" t="inlineStr">
        <is>
          <t>Oxygen</t>
        </is>
      </c>
      <c r="C43" s="2" t="inlineStr">
        <is>
          <t>Software</t>
        </is>
      </c>
      <c r="D43" s="2" t="inlineStr">
        <is>
          <t>Decision</t>
        </is>
      </c>
      <c r="E43" s="2" t="inlineStr">
        <is>
          <t>Loss of line flow measurement</t>
        </is>
      </c>
      <c r="F43" s="2" t="inlineStr">
        <is>
          <t>Line leaves auto and holds its last valve position open-loop.</t>
        </is>
      </c>
      <c r="G43" s="2" t="inlineStr">
        <is>
          <t>FB.OxySystem.OxyControl</t>
        </is>
      </c>
      <c r="H43" s="2" t="inlineStr">
        <is>
          <t>Hold vs close valve</t>
        </is>
      </c>
      <c r="I43" s="2" t="inlineStr">
        <is>
          <t>Internal</t>
        </is>
      </c>
      <c r="J43" s="2" t="inlineStr">
        <is>
          <t>Project</t>
        </is>
      </c>
      <c r="K43" s="2" t="inlineStr">
        <is>
          <t>Medium</t>
        </is>
      </c>
      <c r="L43" s="2" t="inlineStr">
        <is>
          <t>Open</t>
        </is>
      </c>
      <c r="M43" s="2" t="inlineStr">
        <is>
          <t>2026-10-21</t>
        </is>
      </c>
      <c r="N43" s="2" t="inlineStr"/>
      <c r="O43" s="2" t="inlineStr"/>
    </row>
    <row r="44">
      <c r="A44" s="2" t="inlineStr">
        <is>
          <t>OX-10</t>
        </is>
      </c>
      <c r="B44" s="2" t="inlineStr">
        <is>
          <t>Oxygen</t>
        </is>
      </c>
      <c r="C44" s="2" t="inlineStr">
        <is>
          <t>Both</t>
        </is>
      </c>
      <c r="D44" s="2" t="inlineStr">
        <is>
          <t>Missing info</t>
        </is>
      </c>
      <c r="E44" s="2" t="inlineStr">
        <is>
          <t>Pressure transmitters absolute or gauge</t>
        </is>
      </c>
      <c r="F44" s="2" t="inlineStr">
        <is>
          <t>PressureSetpoint 4.0 bar assumes absolute; ValveOpenPressure 3.0 must change together with it. Range assumed 0-10 bar. Chucaotech required inlet pressure needed.</t>
        </is>
      </c>
      <c r="G44" s="2" t="inlineStr">
        <is>
          <t>OxySystemConfigDUT; ConfigValues</t>
        </is>
      </c>
      <c r="H44" s="2" t="inlineStr"/>
      <c r="I44" s="2" t="inlineStr">
        <is>
          <t>Normex / Chucaotech</t>
        </is>
      </c>
      <c r="J44" s="2" t="inlineStr">
        <is>
          <t>Sigurd</t>
        </is>
      </c>
      <c r="K44" s="2" t="inlineStr">
        <is>
          <t>Medium</t>
        </is>
      </c>
      <c r="L44" s="2" t="inlineStr">
        <is>
          <t>Open</t>
        </is>
      </c>
      <c r="M44" s="2" t="inlineStr">
        <is>
          <t>2026-10-21</t>
        </is>
      </c>
      <c r="N44" s="2" t="inlineStr"/>
      <c r="O44" s="2" t="inlineStr"/>
    </row>
    <row r="45">
      <c r="A45" s="2" t="inlineStr">
        <is>
          <t>OX-11</t>
        </is>
      </c>
      <c r="B45" s="2" t="inlineStr">
        <is>
          <t>Oxygen</t>
        </is>
      </c>
      <c r="C45" s="2" t="inlineStr">
        <is>
          <t>Both</t>
        </is>
      </c>
      <c r="D45" s="2" t="inlineStr">
        <is>
          <t>Missing info</t>
        </is>
      </c>
      <c r="E45" s="2" t="inlineStr">
        <is>
          <t>ATV650 settings</t>
        </is>
      </c>
      <c r="F45" s="2" t="inlineStr">
        <is>
          <t>Unit id, comm-loss behaviour (FD expects hold at preset speed), 20-50 Hz and preset 40 Hz vs NX 3153 pump curve. Fault codes in PLC came from ATV320 list (NVE41316) — re-check for ATV650.</t>
        </is>
      </c>
      <c r="G45" s="2" t="inlineStr">
        <is>
          <t>ATV600-Communication-parameters-EAV64332; FB.OxySystem.OxyPumpATV650</t>
        </is>
      </c>
      <c r="H45" s="2" t="inlineStr"/>
      <c r="I45" s="2" t="inlineStr">
        <is>
          <t>Internal</t>
        </is>
      </c>
      <c r="J45" s="2" t="inlineStr">
        <is>
          <t>Sigurd</t>
        </is>
      </c>
      <c r="K45" s="2" t="inlineStr">
        <is>
          <t>Medium</t>
        </is>
      </c>
      <c r="L45" s="2" t="inlineStr">
        <is>
          <t>Open</t>
        </is>
      </c>
      <c r="M45" s="2" t="inlineStr">
        <is>
          <t>2026-10-21</t>
        </is>
      </c>
      <c r="N45" s="2" t="inlineStr"/>
      <c r="O45" s="2" t="inlineStr"/>
    </row>
    <row r="46">
      <c r="A46" s="2" t="inlineStr">
        <is>
          <t>OX-12</t>
        </is>
      </c>
      <c r="B46" s="2" t="inlineStr">
        <is>
          <t>Oxygen</t>
        </is>
      </c>
      <c r="C46" s="2" t="inlineStr">
        <is>
          <t>Physical</t>
        </is>
      </c>
      <c r="D46" s="2" t="inlineStr">
        <is>
          <t>Missing info</t>
        </is>
      </c>
      <c r="E46" s="2" t="inlineStr">
        <is>
          <t>Ethernet to oxy pump drive cabinet</t>
        </is>
      </c>
      <c r="F46" s="2" t="inlineStr">
        <is>
          <t>Ethernet not drawn in 15169-874.004-DriveCabinet. DIN RJ45 socket (Bjørn) vs build into cabinets (JP).</t>
        </is>
      </c>
      <c r="G46" s="2" t="inlineStr">
        <is>
          <t>Mail 2026-10-16 'Drive cobinet for sideløpspumpen'</t>
        </is>
      </c>
      <c r="H46" s="2" t="inlineStr"/>
      <c r="I46" s="2" t="inlineStr">
        <is>
          <t>Internal</t>
        </is>
      </c>
      <c r="J46" s="2" t="inlineStr">
        <is>
          <t>Project</t>
        </is>
      </c>
      <c r="K46" s="2" t="inlineStr">
        <is>
          <t>Low</t>
        </is>
      </c>
      <c r="L46" s="2" t="inlineStr">
        <is>
          <t>Open</t>
        </is>
      </c>
      <c r="M46" s="2" t="inlineStr">
        <is>
          <t>2026-10-21</t>
        </is>
      </c>
      <c r="N46" s="2" t="inlineStr"/>
      <c r="O46" s="2" t="inlineStr"/>
    </row>
    <row r="47">
      <c r="A47" s="2" t="inlineStr">
        <is>
          <t>OX-13</t>
        </is>
      </c>
      <c r="B47" s="2" t="inlineStr">
        <is>
          <t>Oxygen</t>
        </is>
      </c>
      <c r="C47" s="2" t="inlineStr">
        <is>
          <t>Software</t>
        </is>
      </c>
      <c r="D47" s="2" t="inlineStr">
        <is>
          <t>PLC gap</t>
        </is>
      </c>
      <c r="E47" s="2" t="inlineStr">
        <is>
          <t>OIC01 and O2 sensor alarms</t>
        </is>
      </c>
      <c r="F47" s="2" t="inlineStr">
        <is>
          <t>FD Tabell 15: OIC01 deviation from setpoint and deviation between O2 sensors — not implemented.</t>
        </is>
      </c>
      <c r="G47" s="2" t="inlineStr">
        <is>
          <t>FD Tabell 15</t>
        </is>
      </c>
      <c r="H47" s="2" t="inlineStr"/>
      <c r="I47" s="2" t="inlineStr">
        <is>
          <t>Internal</t>
        </is>
      </c>
      <c r="J47" s="2" t="inlineStr">
        <is>
          <t>Sigurd</t>
        </is>
      </c>
      <c r="K47" s="2" t="inlineStr">
        <is>
          <t>Low</t>
        </is>
      </c>
      <c r="L47" s="2" t="inlineStr">
        <is>
          <t>Open</t>
        </is>
      </c>
      <c r="M47" s="2" t="inlineStr">
        <is>
          <t>2026-10-21</t>
        </is>
      </c>
      <c r="N47" s="2" t="inlineStr"/>
      <c r="O47" s="2" t="inlineStr"/>
    </row>
    <row r="48">
      <c r="A48" s="2" t="inlineStr">
        <is>
          <t>OX-14</t>
        </is>
      </c>
      <c r="B48" s="2" t="inlineStr">
        <is>
          <t>Oxygen</t>
        </is>
      </c>
      <c r="C48" s="2" t="inlineStr">
        <is>
          <t>Software</t>
        </is>
      </c>
      <c r="D48" s="2" t="inlineStr">
        <is>
          <t>Inconsistency</t>
        </is>
      </c>
      <c r="E48" s="2" t="inlineStr">
        <is>
          <t>Controller units vs FD</t>
        </is>
      </c>
      <c r="F48" s="2" t="inlineStr">
        <is>
          <t>FD: OIC01 0-100 %, three parameter sets; FIC in l/min. PLC: OIC01 total kg/h shared over lines, one set (Kp 50, Ti 1800). Deliberate — add to FD deviation list.</t>
        </is>
      </c>
      <c r="G48" s="2" t="inlineStr">
        <is>
          <t>FD Tabell 13/14; FB.Inlet.InletSupervisor</t>
        </is>
      </c>
      <c r="H48" s="2" t="inlineStr"/>
      <c r="I48" s="2" t="inlineStr">
        <is>
          <t>Internal</t>
        </is>
      </c>
      <c r="J48" s="2" t="inlineStr">
        <is>
          <t>Sigurd</t>
        </is>
      </c>
      <c r="K48" s="2" t="inlineStr">
        <is>
          <t>Low</t>
        </is>
      </c>
      <c r="L48" s="2" t="inlineStr">
        <is>
          <t>Open</t>
        </is>
      </c>
      <c r="M48" s="2" t="inlineStr">
        <is>
          <t>2026-10-21</t>
        </is>
      </c>
      <c r="N48" s="2" t="inlineStr"/>
      <c r="O48" s="2" t="inlineStr"/>
    </row>
    <row r="49">
      <c r="A49" s="2" t="inlineStr">
        <is>
          <t>OX-15</t>
        </is>
      </c>
      <c r="B49" s="2" t="inlineStr">
        <is>
          <t>Oxygen</t>
        </is>
      </c>
      <c r="C49" s="2" t="inlineStr">
        <is>
          <t>Physical</t>
        </is>
      </c>
      <c r="D49" s="2" t="inlineStr">
        <is>
          <t>Missing info</t>
        </is>
      </c>
      <c r="E49" s="2" t="inlineStr">
        <is>
          <t>Orbit 864 Modbus noise / hub</t>
        </is>
      </c>
      <c r="F49" s="2" t="inlineStr">
        <is>
          <t>Mechatronic recommends a hub on the Orbit 864 RTU line. Hub ordered for Bergen lab?</t>
        </is>
      </c>
      <c r="G49" s="2" t="inlineStr">
        <is>
          <t>Mail 2026-09-21/30 'Bestilling av komponent til Lab i Bergen'</t>
        </is>
      </c>
      <c r="H49" s="2" t="inlineStr"/>
      <c r="I49" s="2" t="inlineStr">
        <is>
          <t>Internal</t>
        </is>
      </c>
      <c r="J49" s="2" t="inlineStr">
        <is>
          <t>Bjørn</t>
        </is>
      </c>
      <c r="K49" s="2" t="inlineStr">
        <is>
          <t>Low</t>
        </is>
      </c>
      <c r="L49" s="2" t="inlineStr">
        <is>
          <t>Open</t>
        </is>
      </c>
      <c r="M49" s="2" t="inlineStr">
        <is>
          <t>2026-10-21</t>
        </is>
      </c>
      <c r="N49" s="2" t="inlineStr"/>
      <c r="O49" s="2" t="inlineStr"/>
    </row>
    <row r="50">
      <c r="A50" s="2" t="inlineStr">
        <is>
          <t>OX-16</t>
        </is>
      </c>
      <c r="B50" s="2" t="inlineStr">
        <is>
          <t>Oxygen</t>
        </is>
      </c>
      <c r="C50" s="2" t="inlineStr">
        <is>
          <t>Software</t>
        </is>
      </c>
      <c r="D50" s="2" t="inlineStr">
        <is>
          <t>Code bug</t>
        </is>
      </c>
      <c r="E50" s="2" t="inlineStr">
        <is>
          <t>Drive IP in ConfigValues</t>
        </is>
      </c>
      <c r="F50" s="2" t="inlineStr">
        <is>
          <t>InletRIOConfig DriveIP still 10.1.2.101; CAS simulator pod is at 10.1.2.150.</t>
        </is>
      </c>
      <c r="G50" s="2" t="inlineStr">
        <is>
          <t>PFC200_Sim ConfigValues</t>
        </is>
      </c>
      <c r="H50" s="2" t="inlineStr"/>
      <c r="I50" s="2" t="inlineStr">
        <is>
          <t>Internal</t>
        </is>
      </c>
      <c r="J50" s="2" t="inlineStr">
        <is>
          <t>Sigurd</t>
        </is>
      </c>
      <c r="K50" s="2" t="inlineStr">
        <is>
          <t>Low</t>
        </is>
      </c>
      <c r="L50" s="2" t="inlineStr">
        <is>
          <t>Fixed</t>
        </is>
      </c>
      <c r="M50" s="2" t="inlineStr">
        <is>
          <t>2026-10-21</t>
        </is>
      </c>
      <c r="N50" s="2" t="inlineStr">
        <is>
          <t>ConfigValues 2026-10-22: CommonRIO, InletRIO 1-3 and the drives point at the CAS plant 10.1.2.150 (simulator-manager, southshore-bergen); also written into the running PLC's retain.</t>
        </is>
      </c>
      <c r="O50" s="2" t="inlineStr">
        <is>
          <t>2026-10-22</t>
        </is>
      </c>
    </row>
    <row r="51">
      <c r="A51" s="2" t="inlineStr">
        <is>
          <t>OX-17</t>
        </is>
      </c>
      <c r="B51" s="2" t="inlineStr">
        <is>
          <t>Oxygen</t>
        </is>
      </c>
      <c r="C51" s="2" t="inlineStr">
        <is>
          <t>Physical</t>
        </is>
      </c>
      <c r="D51" s="2" t="inlineStr">
        <is>
          <t>Missing hardware</t>
        </is>
      </c>
      <c r="E51" s="2" t="inlineStr">
        <is>
          <t>Low O2 supply pressure switch / master shut-off valve</t>
        </is>
      </c>
      <c r="F51" s="2" t="inlineStr">
        <is>
          <t>No PLC input for low supply pressure and no PLC-controlled master shut-off valve on P&amp;ID or in PLC (HAZID backflow risk).</t>
        </is>
      </c>
      <c r="G51" s="2" t="inlineStr">
        <is>
          <t>HAZID oksygen; P&amp;ID rev A</t>
        </is>
      </c>
      <c r="H51" s="2" t="inlineStr"/>
      <c r="I51" s="2" t="inlineStr">
        <is>
          <t>Normex</t>
        </is>
      </c>
      <c r="J51" s="2" t="inlineStr">
        <is>
          <t>Sigurd</t>
        </is>
      </c>
      <c r="K51" s="2" t="inlineStr">
        <is>
          <t>High</t>
        </is>
      </c>
      <c r="L51" s="2" t="inlineStr">
        <is>
          <t>Open</t>
        </is>
      </c>
      <c r="M51" s="2" t="inlineStr">
        <is>
          <t>2026-10-21</t>
        </is>
      </c>
      <c r="N51" s="2" t="inlineStr"/>
      <c r="O51" s="2" t="inlineStr"/>
    </row>
    <row r="52">
      <c r="A52" s="2" t="inlineStr">
        <is>
          <t>OX-18</t>
        </is>
      </c>
      <c r="B52" s="2" t="inlineStr">
        <is>
          <t>Oxygen</t>
        </is>
      </c>
      <c r="C52" s="2" t="inlineStr">
        <is>
          <t>Software</t>
        </is>
      </c>
      <c r="D52" s="2" t="inlineStr">
        <is>
          <t>Code bug</t>
        </is>
      </c>
      <c r="E52" s="2" t="inlineStr">
        <is>
          <t>ATV650 fault codes from ATV320 list</t>
        </is>
      </c>
      <c r="F52" s="2" t="inlineStr">
        <is>
          <t>OxyPumpATV650 decodes LFT with ATV320 (NVE41316) codes (e.g. 16 OHF, 17 OLF, 22 USF). Verify against ATV600 list EAV64332.</t>
        </is>
      </c>
      <c r="G52" s="2" t="inlineStr">
        <is>
          <t>FB.OxySystem.OxyPumpATV650</t>
        </is>
      </c>
      <c r="H52" s="2" t="inlineStr"/>
      <c r="I52" s="2" t="inlineStr">
        <is>
          <t>Internal</t>
        </is>
      </c>
      <c r="J52" s="2" t="inlineStr">
        <is>
          <t>Sigurd</t>
        </is>
      </c>
      <c r="K52" s="2" t="inlineStr">
        <is>
          <t>Medium</t>
        </is>
      </c>
      <c r="L52" s="2" t="inlineStr">
        <is>
          <t>Closed</t>
        </is>
      </c>
      <c r="M52" s="2" t="inlineStr">
        <is>
          <t>2026-10-21</t>
        </is>
      </c>
      <c r="N52" s="2" t="inlineStr">
        <is>
          <t>Checked 2026-10-21 (CAS FD Oxygen): register addresses and fault codes match ATV600 EAV64332. Verify on the real drive at commissioning; program design/design basis still say ATV320.</t>
        </is>
      </c>
      <c r="O52" s="2" t="inlineStr">
        <is>
          <t>2026-10-21</t>
        </is>
      </c>
    </row>
    <row r="53">
      <c r="A53" s="2" t="inlineStr">
        <is>
          <t>OX-19</t>
        </is>
      </c>
      <c r="B53" s="2" t="inlineStr">
        <is>
          <t>Oxygen</t>
        </is>
      </c>
      <c r="C53" s="2" t="inlineStr">
        <is>
          <t>Physical</t>
        </is>
      </c>
      <c r="D53" s="2" t="inlineStr">
        <is>
          <t>Inconsistency</t>
        </is>
      </c>
      <c r="E53" s="2" t="inlineStr">
        <is>
          <t>Side-stream pump head vs 4 bar setpoint</t>
        </is>
      </c>
      <c r="F53" s="2" t="inlineStr">
        <is>
          <t>Flygt NX 3153 datasheet: 10.2 m head at duty point, 18.3 m at shut-off (≈1-1.8 bar) — cannot give 4.0 bar after the pump. Simulator assumes 4.5 bar rise.</t>
        </is>
      </c>
      <c r="G53" s="2" t="inlineStr">
        <is>
          <t>CAS FD Oxygen OI18; NX 3153 datasheet; design_basis.toml</t>
        </is>
      </c>
      <c r="H53" s="2" t="inlineStr">
        <is>
          <t>Confirm pump, injector inlet pressure and setpoint</t>
        </is>
      </c>
      <c r="I53" s="2" t="inlineStr">
        <is>
          <t>Normex / Chucaotech</t>
        </is>
      </c>
      <c r="J53" s="2" t="inlineStr">
        <is>
          <t>Sigurd</t>
        </is>
      </c>
      <c r="K53" s="2" t="inlineStr">
        <is>
          <t>High</t>
        </is>
      </c>
      <c r="L53" s="2" t="inlineStr">
        <is>
          <t>Open</t>
        </is>
      </c>
      <c r="M53" s="2" t="inlineStr">
        <is>
          <t>2026-10-21</t>
        </is>
      </c>
      <c r="N53" s="2" t="inlineStr"/>
      <c r="O53" s="2" t="inlineStr"/>
    </row>
    <row r="54">
      <c r="A54" s="2" t="inlineStr">
        <is>
          <t>OX-20</t>
        </is>
      </c>
      <c r="B54" s="2" t="inlineStr">
        <is>
          <t>Oxygen</t>
        </is>
      </c>
      <c r="C54" s="2" t="inlineStr">
        <is>
          <t>Software</t>
        </is>
      </c>
      <c r="D54" s="2" t="inlineStr">
        <is>
          <t>Code bug</t>
        </is>
      </c>
      <c r="E54" s="2" t="inlineStr">
        <is>
          <t>Bad flow measurement causes over-dosing</t>
        </is>
      </c>
      <c r="F54" s="2" t="inlineStr">
        <is>
          <t>When a line's flow measurement is bad its flow counts as 0 in the sharing while its valve stays where it was — other lines add the same flow again.</t>
        </is>
      </c>
      <c r="G54" s="2" t="inlineStr">
        <is>
          <t>CAS FD Oxygen OI15; FB.Inlet.InletSupervisor</t>
        </is>
      </c>
      <c r="H54" s="2" t="inlineStr">
        <is>
          <t>Use last good flow or close the valve</t>
        </is>
      </c>
      <c r="I54" s="2" t="inlineStr">
        <is>
          <t>Internal</t>
        </is>
      </c>
      <c r="J54" s="2" t="inlineStr">
        <is>
          <t>Sigurd</t>
        </is>
      </c>
      <c r="K54" s="2" t="inlineStr">
        <is>
          <t>High</t>
        </is>
      </c>
      <c r="L54" s="2" t="inlineStr">
        <is>
          <t>Open</t>
        </is>
      </c>
      <c r="M54" s="2" t="inlineStr">
        <is>
          <t>2026-10-21</t>
        </is>
      </c>
      <c r="N54" s="2" t="inlineStr"/>
      <c r="O54" s="2" t="inlineStr"/>
    </row>
    <row r="55">
      <c r="A55" s="2" t="inlineStr">
        <is>
          <t>OX-21</t>
        </is>
      </c>
      <c r="B55" s="2" t="inlineStr">
        <is>
          <t>Oxygen</t>
        </is>
      </c>
      <c r="C55" s="2" t="inlineStr">
        <is>
          <t>Both</t>
        </is>
      </c>
      <c r="D55" s="2" t="inlineStr">
        <is>
          <t>Missing hardware</t>
        </is>
      </c>
      <c r="E55" s="2" t="inlineStr">
        <is>
          <t>Emergency stop to oxygen system</t>
        </is>
      </c>
      <c r="F55" s="2" t="inlineStr">
        <is>
          <t>No E-stop input wired to the Heimdall PLC; oxygen stop on E-stop not possible.</t>
        </is>
      </c>
      <c r="G55" s="2" t="inlineStr">
        <is>
          <t>CAS FD Oxygen OI22; CAS FD Inlet OI13</t>
        </is>
      </c>
      <c r="H55" s="2" t="inlineStr"/>
      <c r="I55" s="2" t="inlineStr">
        <is>
          <t>Internal</t>
        </is>
      </c>
      <c r="J55" s="2" t="inlineStr">
        <is>
          <t>Project</t>
        </is>
      </c>
      <c r="K55" s="2" t="inlineStr">
        <is>
          <t>High</t>
        </is>
      </c>
      <c r="L55" s="2" t="inlineStr">
        <is>
          <t>Open</t>
        </is>
      </c>
      <c r="M55" s="2" t="inlineStr">
        <is>
          <t>2026-10-21</t>
        </is>
      </c>
      <c r="N55" s="2" t="inlineStr"/>
      <c r="O55" s="2" t="inlineStr"/>
    </row>
    <row r="56">
      <c r="A56" s="2" t="inlineStr">
        <is>
          <t>OX-22</t>
        </is>
      </c>
      <c r="B56" s="2" t="inlineStr">
        <is>
          <t>Oxygen</t>
        </is>
      </c>
      <c r="C56" s="2" t="inlineStr">
        <is>
          <t>Both</t>
        </is>
      </c>
      <c r="D56" s="2" t="inlineStr">
        <is>
          <t>Missing info</t>
        </is>
      </c>
      <c r="E56" s="2" t="inlineStr">
        <is>
          <t>ATV650 comm-loss behaviour</t>
        </is>
      </c>
      <c r="F56" s="2" t="inlineStr">
        <is>
          <t>Factory default on lost PLC link is freewheel stop; FD wants hold at preset speed (fallback speed / speed maintain).</t>
        </is>
      </c>
      <c r="G56" s="2" t="inlineStr">
        <is>
          <t>CAS FD Oxygen OI19</t>
        </is>
      </c>
      <c r="H56" s="2" t="inlineStr">
        <is>
          <t>Set ETHL fallback speed</t>
        </is>
      </c>
      <c r="I56" s="2" t="inlineStr">
        <is>
          <t>Internal</t>
        </is>
      </c>
      <c r="J56" s="2" t="inlineStr">
        <is>
          <t>Sigurd</t>
        </is>
      </c>
      <c r="K56" s="2" t="inlineStr">
        <is>
          <t>Medium</t>
        </is>
      </c>
      <c r="L56" s="2" t="inlineStr">
        <is>
          <t>Open</t>
        </is>
      </c>
      <c r="M56" s="2" t="inlineStr">
        <is>
          <t>2026-10-21</t>
        </is>
      </c>
      <c r="N56" s="2" t="inlineStr"/>
      <c r="O56" s="2" t="inlineStr"/>
    </row>
    <row r="57">
      <c r="A57" s="2" t="inlineStr">
        <is>
          <t>OX-23</t>
        </is>
      </c>
      <c r="B57" s="2" t="inlineStr">
        <is>
          <t>Oxygen</t>
        </is>
      </c>
      <c r="C57" s="2" t="inlineStr">
        <is>
          <t>Software</t>
        </is>
      </c>
      <c r="D57" s="2" t="inlineStr">
        <is>
          <t>PLC gap</t>
        </is>
      </c>
      <c r="E57" s="2" t="inlineStr">
        <is>
          <t>Low pressure-drop alarm over injector</t>
        </is>
      </c>
      <c r="F57" s="2" t="inlineStr">
        <is>
          <t>OxynatorOutletPressure is read but unused; no low dP alarm.</t>
        </is>
      </c>
      <c r="G57" s="2" t="inlineStr">
        <is>
          <t>CAS FD Oxygen OI10</t>
        </is>
      </c>
      <c r="H57" s="2" t="inlineStr"/>
      <c r="I57" s="2" t="inlineStr">
        <is>
          <t>Internal</t>
        </is>
      </c>
      <c r="J57" s="2" t="inlineStr">
        <is>
          <t>Sigurd</t>
        </is>
      </c>
      <c r="K57" s="2" t="inlineStr">
        <is>
          <t>Medium</t>
        </is>
      </c>
      <c r="L57" s="2" t="inlineStr">
        <is>
          <t>Open</t>
        </is>
      </c>
      <c r="M57" s="2" t="inlineStr">
        <is>
          <t>2026-10-21</t>
        </is>
      </c>
      <c r="N57" s="2" t="inlineStr"/>
      <c r="O57" s="2" t="inlineStr"/>
    </row>
    <row r="58">
      <c r="A58" s="2" t="inlineStr">
        <is>
          <t>OX-24</t>
        </is>
      </c>
      <c r="B58" s="2" t="inlineStr">
        <is>
          <t>Oxygen</t>
        </is>
      </c>
      <c r="C58" s="2" t="inlineStr">
        <is>
          <t>Both</t>
        </is>
      </c>
      <c r="D58" s="2" t="inlineStr">
        <is>
          <t>PLC gap</t>
        </is>
      </c>
      <c r="E58" s="2" t="inlineStr">
        <is>
          <t>Pump leakage / temperature contacts unused</t>
        </is>
      </c>
      <c r="F58" s="2" t="inlineStr">
        <is>
          <t>Side-stream pump leakage/temperature contacts exist on RIO1 only and are not used in the logic.</t>
        </is>
      </c>
      <c r="G58" s="2" t="inlineStr">
        <is>
          <t>CAS FD Oxygen OI24</t>
        </is>
      </c>
      <c r="H58" s="2" t="inlineStr"/>
      <c r="I58" s="2" t="inlineStr">
        <is>
          <t>Internal</t>
        </is>
      </c>
      <c r="J58" s="2" t="inlineStr">
        <is>
          <t>Sigurd</t>
        </is>
      </c>
      <c r="K58" s="2" t="inlineStr">
        <is>
          <t>Medium</t>
        </is>
      </c>
      <c r="L58" s="2" t="inlineStr">
        <is>
          <t>Open</t>
        </is>
      </c>
      <c r="M58" s="2" t="inlineStr">
        <is>
          <t>2026-10-21</t>
        </is>
      </c>
      <c r="N58" s="2" t="inlineStr"/>
      <c r="O58" s="2" t="inlineStr"/>
    </row>
    <row r="59">
      <c r="A59" s="2" t="inlineStr">
        <is>
          <t>OX-25</t>
        </is>
      </c>
      <c r="B59" s="2" t="inlineStr">
        <is>
          <t>Oxygen</t>
        </is>
      </c>
      <c r="C59" s="2" t="inlineStr">
        <is>
          <t>Physical</t>
        </is>
      </c>
      <c r="D59" s="2" t="inlineStr">
        <is>
          <t>Inconsistency</t>
        </is>
      </c>
      <c r="E59" s="2" t="inlineStr">
        <is>
          <t>O2 supply pressure</t>
        </is>
      </c>
      <c r="F59" s="2" t="inlineStr">
        <is>
          <t>Normex sketch '2.5 bar ?' vs Linde sheet 10 bar.</t>
        </is>
      </c>
      <c r="G59" s="2" t="inlineStr">
        <is>
          <t>CAS FD Oxygen OI1; Normex sketch 15.10.26</t>
        </is>
      </c>
      <c r="H59" s="2" t="inlineStr"/>
      <c r="I59" s="2" t="inlineStr">
        <is>
          <t>Normex</t>
        </is>
      </c>
      <c r="J59" s="2" t="inlineStr">
        <is>
          <t>Sigurd</t>
        </is>
      </c>
      <c r="K59" s="2" t="inlineStr">
        <is>
          <t>Medium</t>
        </is>
      </c>
      <c r="L59" s="2" t="inlineStr">
        <is>
          <t>Open</t>
        </is>
      </c>
      <c r="M59" s="2" t="inlineStr">
        <is>
          <t>2026-10-21</t>
        </is>
      </c>
      <c r="N59" s="2" t="inlineStr"/>
      <c r="O59" s="2" t="inlineStr"/>
    </row>
    <row r="60">
      <c r="A60" s="2" t="inlineStr">
        <is>
          <t>OX-26</t>
        </is>
      </c>
      <c r="B60" s="2" t="inlineStr">
        <is>
          <t>Oxygen</t>
        </is>
      </c>
      <c r="C60" s="2" t="inlineStr">
        <is>
          <t>Physical</t>
        </is>
      </c>
      <c r="D60" s="2" t="inlineStr">
        <is>
          <t>Decision</t>
        </is>
      </c>
      <c r="E60" s="2" t="inlineStr">
        <is>
          <t>Oxygen capacity with one inlet pump out</t>
        </is>
      </c>
      <c r="F60" s="2" t="inlineStr">
        <is>
          <t>Two lines must carry the full oxygen demand (~560-730 t biomass) when one inlet pump is out.</t>
        </is>
      </c>
      <c r="G60" s="2" t="inlineStr">
        <is>
          <t>CAS FD Oxygen OI26; sizing sheet</t>
        </is>
      </c>
      <c r="H60" s="2" t="inlineStr"/>
      <c r="I60" s="2" t="inlineStr">
        <is>
          <t>Internal</t>
        </is>
      </c>
      <c r="J60" s="2" t="inlineStr">
        <is>
          <t>Project</t>
        </is>
      </c>
      <c r="K60" s="2" t="inlineStr">
        <is>
          <t>Medium</t>
        </is>
      </c>
      <c r="L60" s="2" t="inlineStr">
        <is>
          <t>Open</t>
        </is>
      </c>
      <c r="M60" s="2" t="inlineStr">
        <is>
          <t>2026-10-21</t>
        </is>
      </c>
      <c r="N60" s="2" t="inlineStr"/>
      <c r="O60" s="2" t="inlineStr"/>
    </row>
    <row r="61">
      <c r="A61" s="2" t="inlineStr">
        <is>
          <t>OX-27</t>
        </is>
      </c>
      <c r="B61" s="2" t="inlineStr">
        <is>
          <t>Oxygen</t>
        </is>
      </c>
      <c r="C61" s="2" t="inlineStr">
        <is>
          <t>Software</t>
        </is>
      </c>
      <c r="D61" s="2" t="inlineStr">
        <is>
          <t>Code bug</t>
        </is>
      </c>
      <c r="E61" s="2" t="inlineStr">
        <is>
          <t>PT40 variable name</t>
        </is>
      </c>
      <c r="F61" s="2" t="inlineStr">
        <is>
          <t>Supply pressure transmitter has the wrong variable name in the PLC vs P&amp;ID PT40.</t>
        </is>
      </c>
      <c r="G61" s="2" t="inlineStr">
        <is>
          <t>CAS FD Oxygen OI4</t>
        </is>
      </c>
      <c r="H61" s="2" t="inlineStr"/>
      <c r="I61" s="2" t="inlineStr">
        <is>
          <t>Internal</t>
        </is>
      </c>
      <c r="J61" s="2" t="inlineStr">
        <is>
          <t>Sigurd</t>
        </is>
      </c>
      <c r="K61" s="2" t="inlineStr">
        <is>
          <t>Low</t>
        </is>
      </c>
      <c r="L61" s="2" t="inlineStr">
        <is>
          <t>Open</t>
        </is>
      </c>
      <c r="M61" s="2" t="inlineStr">
        <is>
          <t>2026-10-21</t>
        </is>
      </c>
      <c r="N61" s="2" t="inlineStr"/>
      <c r="O61" s="2" t="inlineStr"/>
    </row>
    <row r="62">
      <c r="A62" s="2" t="inlineStr">
        <is>
          <t>OUT-01</t>
        </is>
      </c>
      <c r="B62" s="2" t="inlineStr">
        <is>
          <t>Outlet</t>
        </is>
      </c>
      <c r="C62" s="2" t="inlineStr">
        <is>
          <t>Both</t>
        </is>
      </c>
      <c r="D62" s="2" t="inlineStr">
        <is>
          <t>Decision</t>
        </is>
      </c>
      <c r="E62" s="2" t="inlineStr">
        <is>
          <t>Outlet on power loss</t>
        </is>
      </c>
      <c r="F62" s="2" t="inlineStr">
        <is>
          <t>Should the outlet close automatically on power loss (FD rev B) — accumulator, backup power for the pump, or manual?</t>
        </is>
      </c>
      <c r="G62" s="2" t="inlineStr">
        <is>
          <t>FD §3.2.3; Servi Q&amp;A; mail 'Automatisk stenging' 28.09</t>
        </is>
      </c>
      <c r="H62" s="2" t="inlineStr">
        <is>
          <t>Accumulator / backup power / manual hand pump</t>
        </is>
      </c>
      <c r="I62" s="2" t="inlineStr">
        <is>
          <t>Internal</t>
        </is>
      </c>
      <c r="J62" s="2" t="inlineStr">
        <is>
          <t>Project</t>
        </is>
      </c>
      <c r="K62" s="2" t="inlineStr">
        <is>
          <t>High</t>
        </is>
      </c>
      <c r="L62" s="2" t="inlineStr">
        <is>
          <t>Decided</t>
        </is>
      </c>
      <c r="M62" s="2" t="inlineStr">
        <is>
          <t>2026-10-21</t>
        </is>
      </c>
      <c r="N62" s="2" t="inlineStr">
        <is>
          <t>No automatic close. Dampers hold position; operator overrides with the HPU hand pump. Accumulator deferred — space for retrofit.</t>
        </is>
      </c>
      <c r="O62" s="2" t="inlineStr">
        <is>
          <t>2026-10-21</t>
        </is>
      </c>
    </row>
    <row r="63">
      <c r="A63" s="2" t="inlineStr">
        <is>
          <t>OUT-02</t>
        </is>
      </c>
      <c r="B63" s="2" t="inlineStr">
        <is>
          <t>Outlet</t>
        </is>
      </c>
      <c r="C63" s="2" t="inlineStr">
        <is>
          <t>Both</t>
        </is>
      </c>
      <c r="D63" s="2" t="inlineStr">
        <is>
          <t>Missing hardware</t>
        </is>
      </c>
      <c r="E63" s="2" t="inlineStr">
        <is>
          <t>Pressure transmitters per cylinder (8 → 4)</t>
        </is>
      </c>
      <c r="F63" s="2" t="inlineStr">
        <is>
          <t>Servi drawing A1 (2939238) has one PT per cylinder (1PT1-1PT4, 0-250 bar, A/plus line). FD PT61-68 and PLC (PressureOpen + PressureClose, 8 AIs) expect two. End position confirmable in one direction only.</t>
        </is>
      </c>
      <c r="G63" s="2" t="inlineStr">
        <is>
          <t>Servi A1; FD §3.2.3; CylinderInputDUT; mail Bjørn 2026-10-19</t>
        </is>
      </c>
      <c r="H63" s="2" t="inlineStr">
        <is>
          <t>Buy 2nd PT (Minimess point, Servi offer) / detect end-of-stroke by pulses stopping</t>
        </is>
      </c>
      <c r="I63" s="2" t="inlineStr">
        <is>
          <t>Servi</t>
        </is>
      </c>
      <c r="J63" s="2" t="inlineStr">
        <is>
          <t>Bjørn</t>
        </is>
      </c>
      <c r="K63" s="2" t="inlineStr">
        <is>
          <t>High</t>
        </is>
      </c>
      <c r="L63" s="2" t="inlineStr">
        <is>
          <t>Open</t>
        </is>
      </c>
      <c r="M63" s="2" t="inlineStr">
        <is>
          <t>2026-10-21</t>
        </is>
      </c>
      <c r="N63" s="2" t="inlineStr"/>
      <c r="O63" s="2" t="inlineStr"/>
    </row>
    <row r="64">
      <c r="A64" s="2" t="inlineStr">
        <is>
          <t>OUT-03</t>
        </is>
      </c>
      <c r="B64" s="2" t="inlineStr">
        <is>
          <t>Outlet</t>
        </is>
      </c>
      <c r="C64" s="2" t="inlineStr">
        <is>
          <t>Physical</t>
        </is>
      </c>
      <c r="D64" s="2" t="inlineStr">
        <is>
          <t>Missing info</t>
        </is>
      </c>
      <c r="E64" s="2" t="inlineStr">
        <is>
          <t>Plus stroke direction</t>
        </is>
      </c>
      <c r="F64" s="2" t="inlineStr">
        <is>
          <t>Does plus stroke (A, extend) open or close the damper? Decides which end has the PT and the counter direction.</t>
        </is>
      </c>
      <c r="G64" s="2" t="inlineStr">
        <is>
          <t>Servi A1</t>
        </is>
      </c>
      <c r="H64" s="2" t="inlineStr"/>
      <c r="I64" s="2" t="inlineStr">
        <is>
          <t>Østerbø / Servi</t>
        </is>
      </c>
      <c r="J64" s="2" t="inlineStr">
        <is>
          <t>Bjørn</t>
        </is>
      </c>
      <c r="K64" s="2" t="inlineStr">
        <is>
          <t>High</t>
        </is>
      </c>
      <c r="L64" s="2" t="inlineStr">
        <is>
          <t>Open</t>
        </is>
      </c>
      <c r="M64" s="2" t="inlineStr">
        <is>
          <t>2026-10-21</t>
        </is>
      </c>
      <c r="N64" s="2" t="inlineStr"/>
      <c r="O64" s="2" t="inlineStr"/>
    </row>
    <row r="65">
      <c r="A65" s="2" t="inlineStr">
        <is>
          <t>OUT-04</t>
        </is>
      </c>
      <c r="B65" s="2" t="inlineStr">
        <is>
          <t>Outlet</t>
        </is>
      </c>
      <c r="C65" s="2" t="inlineStr">
        <is>
          <t>Both</t>
        </is>
      </c>
      <c r="D65" s="2" t="inlineStr">
        <is>
          <t>PLC gap</t>
        </is>
      </c>
      <c r="E65" s="2" t="inlineStr">
        <is>
          <t>Junction box signals not mapped</t>
        </is>
      </c>
      <c r="F65" s="2" t="inlineStr">
        <is>
          <t>JB 18068: pump on backup/normal power (K1/K2), filter clogged, E-stop loop, local Start/Stop panel ST-16183, motor running feedback, power-lost relay (action 82). PLC maps only StarterFault, HydraulicOilTankFault, EStop + Start/Reset.</t>
        </is>
      </c>
      <c r="G65" s="2" t="inlineStr">
        <is>
          <t>Servi JB 18068 A2/A3; FB.RIO.CommonRIO</t>
        </is>
      </c>
      <c r="H65" s="2" t="inlineStr"/>
      <c r="I65" s="2" t="inlineStr">
        <is>
          <t>Servi</t>
        </is>
      </c>
      <c r="J65" s="2" t="inlineStr">
        <is>
          <t>Bjørn</t>
        </is>
      </c>
      <c r="K65" s="2" t="inlineStr">
        <is>
          <t>High</t>
        </is>
      </c>
      <c r="L65" s="2" t="inlineStr">
        <is>
          <t>Open</t>
        </is>
      </c>
      <c r="M65" s="2" t="inlineStr">
        <is>
          <t>2026-10-21</t>
        </is>
      </c>
      <c r="N65" s="2" t="inlineStr"/>
      <c r="O65" s="2" t="inlineStr"/>
    </row>
    <row r="66">
      <c r="A66" s="2" t="inlineStr">
        <is>
          <t>OUT-05</t>
        </is>
      </c>
      <c r="B66" s="2" t="inlineStr">
        <is>
          <t>Outlet</t>
        </is>
      </c>
      <c r="C66" s="2" t="inlineStr">
        <is>
          <t>Both</t>
        </is>
      </c>
      <c r="D66" s="2" t="inlineStr">
        <is>
          <t>PLC gap</t>
        </is>
      </c>
      <c r="E66" s="2" t="inlineStr">
        <is>
          <t>Power-lost alarm to operator</t>
        </is>
      </c>
      <c r="F66" s="2" t="inlineStr">
        <is>
          <t>With manual override decided, operator must be alarmed on power loss. Needs the Servi power-lost / backup-power relay as a PLC input.</t>
        </is>
      </c>
      <c r="G66" s="2" t="inlineStr">
        <is>
          <t>Decision 2026-10-21; action item 82</t>
        </is>
      </c>
      <c r="H66" s="2" t="inlineStr"/>
      <c r="I66" s="2" t="inlineStr">
        <is>
          <t>Servi</t>
        </is>
      </c>
      <c r="J66" s="2" t="inlineStr">
        <is>
          <t>Bjørn</t>
        </is>
      </c>
      <c r="K66" s="2" t="inlineStr">
        <is>
          <t>High</t>
        </is>
      </c>
      <c r="L66" s="2" t="inlineStr">
        <is>
          <t>Open</t>
        </is>
      </c>
      <c r="M66" s="2" t="inlineStr">
        <is>
          <t>2026-10-21</t>
        </is>
      </c>
      <c r="N66" s="2" t="inlineStr"/>
      <c r="O66" s="2" t="inlineStr"/>
    </row>
    <row r="67">
      <c r="A67" s="2" t="inlineStr">
        <is>
          <t>OUT-06</t>
        </is>
      </c>
      <c r="B67" s="2" t="inlineStr">
        <is>
          <t>Outlet</t>
        </is>
      </c>
      <c r="C67" s="2" t="inlineStr">
        <is>
          <t>Both</t>
        </is>
      </c>
      <c r="D67" s="2" t="inlineStr">
        <is>
          <t>Decision</t>
        </is>
      </c>
      <c r="E67" s="2" t="inlineStr">
        <is>
          <t>Hydraulic pump control authority</t>
        </is>
      </c>
      <c r="F67" s="2" t="inlineStr">
        <is>
          <t>Pump is DOL (start/reset DO, StarterFault DI, no running feedback). Local start/stop panel offered by Servi but not ordered. Local vs PLC authority; hard-wired low-oil stop?</t>
        </is>
      </c>
      <c r="G67" s="2" t="inlineStr">
        <is>
          <t>Servi mail 2026-10-01; OutletControl.HydraulicPumpControl</t>
        </is>
      </c>
      <c r="H67" s="2" t="inlineStr"/>
      <c r="I67" s="2" t="inlineStr">
        <is>
          <t>Internal / Servi</t>
        </is>
      </c>
      <c r="J67" s="2" t="inlineStr">
        <is>
          <t>Bjørn</t>
        </is>
      </c>
      <c r="K67" s="2" t="inlineStr">
        <is>
          <t>Medium</t>
        </is>
      </c>
      <c r="L67" s="2" t="inlineStr">
        <is>
          <t>Open</t>
        </is>
      </c>
      <c r="M67" s="2" t="inlineStr">
        <is>
          <t>2026-10-21</t>
        </is>
      </c>
      <c r="N67" s="2" t="inlineStr"/>
      <c r="O67" s="2" t="inlineStr"/>
    </row>
    <row r="68">
      <c r="A68" s="2" t="inlineStr">
        <is>
          <t>OUT-07</t>
        </is>
      </c>
      <c r="B68" s="2" t="inlineStr">
        <is>
          <t>Outlet</t>
        </is>
      </c>
      <c r="C68" s="2" t="inlineStr">
        <is>
          <t>Software</t>
        </is>
      </c>
      <c r="D68" s="2" t="inlineStr">
        <is>
          <t>Code bug</t>
        </is>
      </c>
      <c r="E68" s="2" t="inlineStr">
        <is>
          <t>Pump not stopped on oil tank fault</t>
        </is>
      </c>
      <c r="F68" s="2" t="inlineStr">
        <is>
          <t>PLC only alarms on HydraulicOilTankFault (low level / 70 °C); pump start not gated.</t>
        </is>
      </c>
      <c r="G68" s="2" t="inlineStr">
        <is>
          <t>OutletControl.HydraulicPumpControl</t>
        </is>
      </c>
      <c r="H68" s="2" t="inlineStr"/>
      <c r="I68" s="2" t="inlineStr">
        <is>
          <t>Internal</t>
        </is>
      </c>
      <c r="J68" s="2" t="inlineStr">
        <is>
          <t>Bjørn</t>
        </is>
      </c>
      <c r="K68" s="2" t="inlineStr">
        <is>
          <t>Medium</t>
        </is>
      </c>
      <c r="L68" s="2" t="inlineStr">
        <is>
          <t>Open</t>
        </is>
      </c>
      <c r="M68" s="2" t="inlineStr">
        <is>
          <t>2026-10-21</t>
        </is>
      </c>
      <c r="N68" s="2" t="inlineStr"/>
      <c r="O68" s="2" t="inlineStr"/>
    </row>
    <row r="69">
      <c r="A69" s="2" t="inlineStr">
        <is>
          <t>OUT-08</t>
        </is>
      </c>
      <c r="B69" s="2" t="inlineStr">
        <is>
          <t>Outlet</t>
        </is>
      </c>
      <c r="C69" s="2" t="inlineStr">
        <is>
          <t>Software</t>
        </is>
      </c>
      <c r="D69" s="2" t="inlineStr">
        <is>
          <t>PLC gap</t>
        </is>
      </c>
      <c r="E69" s="2" t="inlineStr">
        <is>
          <t>Outlet E-stop and other alarms</t>
        </is>
      </c>
      <c r="F69" s="2" t="inlineStr">
        <is>
          <t>No E-stop alarm (ES61 in alarm list); no filter, pump overload or power-loss alarms.</t>
        </is>
      </c>
      <c r="G69" s="2" t="inlineStr">
        <is>
          <t>FD-02 alarm list; OutletControl.AlarmHandling</t>
        </is>
      </c>
      <c r="H69" s="2" t="inlineStr"/>
      <c r="I69" s="2" t="inlineStr">
        <is>
          <t>Internal</t>
        </is>
      </c>
      <c r="J69" s="2" t="inlineStr">
        <is>
          <t>Bjørn</t>
        </is>
      </c>
      <c r="K69" s="2" t="inlineStr">
        <is>
          <t>Medium</t>
        </is>
      </c>
      <c r="L69" s="2" t="inlineStr">
        <is>
          <t>Open</t>
        </is>
      </c>
      <c r="M69" s="2" t="inlineStr">
        <is>
          <t>2026-10-21</t>
        </is>
      </c>
      <c r="N69" s="2" t="inlineStr"/>
      <c r="O69" s="2" t="inlineStr"/>
    </row>
    <row r="70">
      <c r="A70" s="2" t="inlineStr">
        <is>
          <t>OUT-09</t>
        </is>
      </c>
      <c r="B70" s="2" t="inlineStr">
        <is>
          <t>Outlet</t>
        </is>
      </c>
      <c r="C70" s="2" t="inlineStr">
        <is>
          <t>Physical</t>
        </is>
      </c>
      <c r="D70" s="2" t="inlineStr">
        <is>
          <t>Inconsistency</t>
        </is>
      </c>
      <c r="E70" s="2" t="inlineStr">
        <is>
          <t>Flow meter signal type</t>
        </is>
      </c>
      <c r="F70" s="2" t="inlineStr">
        <is>
          <t>JB overview sheet labels FT1-4 '24VDC 4-20MA'; sheet A2 says pulse. PLC assumes pulse (750-638).</t>
        </is>
      </c>
      <c r="G70" s="2" t="inlineStr">
        <is>
          <t>Servi JB 18068</t>
        </is>
      </c>
      <c r="H70" s="2" t="inlineStr">
        <is>
          <t>Servi to correct overview sheet</t>
        </is>
      </c>
      <c r="I70" s="2" t="inlineStr">
        <is>
          <t>Servi</t>
        </is>
      </c>
      <c r="J70" s="2" t="inlineStr">
        <is>
          <t>Bjørn</t>
        </is>
      </c>
      <c r="K70" s="2" t="inlineStr">
        <is>
          <t>Medium</t>
        </is>
      </c>
      <c r="L70" s="2" t="inlineStr">
        <is>
          <t>Open</t>
        </is>
      </c>
      <c r="M70" s="2" t="inlineStr">
        <is>
          <t>2026-10-21</t>
        </is>
      </c>
      <c r="N70" s="2" t="inlineStr"/>
      <c r="O70" s="2" t="inlineStr"/>
    </row>
    <row r="71">
      <c r="A71" s="2" t="inlineStr">
        <is>
          <t>OUT-10</t>
        </is>
      </c>
      <c r="B71" s="2" t="inlineStr">
        <is>
          <t>Outlet</t>
        </is>
      </c>
      <c r="C71" s="2" t="inlineStr">
        <is>
          <t>Software</t>
        </is>
      </c>
      <c r="D71" s="2" t="inlineStr">
        <is>
          <t>Code bug</t>
        </is>
      </c>
      <c r="E71" s="2" t="inlineStr">
        <is>
          <t>Mode openings look reversed</t>
        </is>
      </c>
      <c r="F71" s="2" t="inlineStr">
        <is>
          <t>OutletConfig.ModePosition default [20,30,40,50] % gives O-35 (34 000 m3/h) the smallest opening and S-75 the largest. FD column 'Spjeld-åpning %' empty.</t>
        </is>
      </c>
      <c r="G71" s="2" t="inlineStr">
        <is>
          <t>ConfigValues OutletConfig; FD Tabell 10</t>
        </is>
      </c>
      <c r="H71" s="2" t="inlineStr"/>
      <c r="I71" s="2" t="inlineStr">
        <is>
          <t>Internal</t>
        </is>
      </c>
      <c r="J71" s="2" t="inlineStr">
        <is>
          <t>Bjørn</t>
        </is>
      </c>
      <c r="K71" s="2" t="inlineStr">
        <is>
          <t>Medium</t>
        </is>
      </c>
      <c r="L71" s="2" t="inlineStr">
        <is>
          <t>Open</t>
        </is>
      </c>
      <c r="M71" s="2" t="inlineStr">
        <is>
          <t>2026-10-21</t>
        </is>
      </c>
      <c r="N71" s="2" t="inlineStr"/>
      <c r="O71" s="2" t="inlineStr"/>
    </row>
    <row r="72">
      <c r="A72" s="2" t="inlineStr">
        <is>
          <t>OUT-11</t>
        </is>
      </c>
      <c r="B72" s="2" t="inlineStr">
        <is>
          <t>Outlet</t>
        </is>
      </c>
      <c r="C72" s="2" t="inlineStr">
        <is>
          <t>Software</t>
        </is>
      </c>
      <c r="D72" s="2" t="inlineStr">
        <is>
          <t>Missing info</t>
        </is>
      </c>
      <c r="E72" s="2" t="inlineStr">
        <is>
          <t>Stroke time and travel limits</t>
        </is>
      </c>
      <c r="F72" s="2" t="inlineStr">
        <is>
          <t>MaxTravelTimeOpen/Close 30 s = assumed stroke time (no margin). Estimate: one cylinder 5-7 s, four sharing the pump 20-26 s. FD 'ca nn s'.</t>
        </is>
      </c>
      <c r="G72" s="2" t="inlineStr">
        <is>
          <t>OutletConfig; design_basis.toml; Servi A1</t>
        </is>
      </c>
      <c r="H72" s="2" t="inlineStr">
        <is>
          <t>Fill in at FAT</t>
        </is>
      </c>
      <c r="I72" s="2" t="inlineStr">
        <is>
          <t>Servi</t>
        </is>
      </c>
      <c r="J72" s="2" t="inlineStr">
        <is>
          <t>Bjørn</t>
        </is>
      </c>
      <c r="K72" s="2" t="inlineStr">
        <is>
          <t>Medium</t>
        </is>
      </c>
      <c r="L72" s="2" t="inlineStr">
        <is>
          <t>Open</t>
        </is>
      </c>
      <c r="M72" s="2" t="inlineStr">
        <is>
          <t>2026-10-21</t>
        </is>
      </c>
      <c r="N72" s="2" t="inlineStr"/>
      <c r="O72" s="2" t="inlineStr"/>
    </row>
    <row r="73">
      <c r="A73" s="2" t="inlineStr">
        <is>
          <t>OUT-12</t>
        </is>
      </c>
      <c r="B73" s="2" t="inlineStr">
        <is>
          <t>Outlet</t>
        </is>
      </c>
      <c r="C73" s="2" t="inlineStr">
        <is>
          <t>Physical</t>
        </is>
      </c>
      <c r="D73" s="2" t="inlineStr">
        <is>
          <t>Missing info</t>
        </is>
      </c>
      <c r="E73" s="2" t="inlineStr">
        <is>
          <t>PSL valves driven on/off</t>
        </is>
      </c>
      <c r="F73" s="2" t="inlineStr">
        <is>
          <t>HAWE PSL are proportional; PLC drives them on/off via relays (750-1515). Confirm with Servi (min ~250 mA note, optional speed card) and relay rating.</t>
        </is>
      </c>
      <c r="G73" s="2" t="inlineStr">
        <is>
          <t>Servi A1; CommonRIO output mapping</t>
        </is>
      </c>
      <c r="H73" s="2" t="inlineStr"/>
      <c r="I73" s="2" t="inlineStr">
        <is>
          <t>Servi</t>
        </is>
      </c>
      <c r="J73" s="2" t="inlineStr">
        <is>
          <t>Bjørn</t>
        </is>
      </c>
      <c r="K73" s="2" t="inlineStr">
        <is>
          <t>Medium</t>
        </is>
      </c>
      <c r="L73" s="2" t="inlineStr">
        <is>
          <t>Open</t>
        </is>
      </c>
      <c r="M73" s="2" t="inlineStr">
        <is>
          <t>2026-10-21</t>
        </is>
      </c>
      <c r="N73" s="2" t="inlineStr"/>
      <c r="O73" s="2" t="inlineStr"/>
    </row>
    <row r="74">
      <c r="A74" s="2" t="inlineStr">
        <is>
          <t>OUT-13</t>
        </is>
      </c>
      <c r="B74" s="2" t="inlineStr">
        <is>
          <t>Outlet</t>
        </is>
      </c>
      <c r="C74" s="2" t="inlineStr">
        <is>
          <t>Software</t>
        </is>
      </c>
      <c r="D74" s="2" t="inlineStr">
        <is>
          <t>Missing info</t>
        </is>
      </c>
      <c r="E74" s="2" t="inlineStr">
        <is>
          <t>Outputs on remote I/O comm loss</t>
        </is>
      </c>
      <c r="F74" s="2" t="inlineStr">
        <is>
          <t>FD table empty; 750-1515 watchdog behaviour not set.</t>
        </is>
      </c>
      <c r="G74" s="2" t="inlineStr">
        <is>
          <t>FD §3.2.3</t>
        </is>
      </c>
      <c r="H74" s="2" t="inlineStr"/>
      <c r="I74" s="2" t="inlineStr">
        <is>
          <t>Internal</t>
        </is>
      </c>
      <c r="J74" s="2" t="inlineStr">
        <is>
          <t>Bjørn</t>
        </is>
      </c>
      <c r="K74" s="2" t="inlineStr">
        <is>
          <t>Medium</t>
        </is>
      </c>
      <c r="L74" s="2" t="inlineStr">
        <is>
          <t>Open</t>
        </is>
      </c>
      <c r="M74" s="2" t="inlineStr">
        <is>
          <t>2026-10-21</t>
        </is>
      </c>
      <c r="N74" s="2" t="inlineStr"/>
      <c r="O74" s="2" t="inlineStr"/>
    </row>
    <row r="75">
      <c r="A75" s="2" t="inlineStr">
        <is>
          <t>OUT-14</t>
        </is>
      </c>
      <c r="B75" s="2" t="inlineStr">
        <is>
          <t>Outlet</t>
        </is>
      </c>
      <c r="C75" s="2" t="inlineStr">
        <is>
          <t>Physical</t>
        </is>
      </c>
      <c r="D75" s="2" t="inlineStr">
        <is>
          <t>Missing info</t>
        </is>
      </c>
      <c r="E75" s="2" t="inlineStr">
        <is>
          <t>Shut-off valve XV65</t>
        </is>
      </c>
      <c r="F75" s="2" t="inlineStr">
        <is>
          <t>In FD and PLS action list 6.3 ('Stopp-ventil') but not on Servi A1 or in the PLC. Deferred with the accumulator?</t>
        </is>
      </c>
      <c r="G75" s="2" t="inlineStr">
        <is>
          <t>FD §3.2.3; PLS aksjonsliste 6.3</t>
        </is>
      </c>
      <c r="H75" s="2" t="inlineStr"/>
      <c r="I75" s="2" t="inlineStr">
        <is>
          <t>Internal</t>
        </is>
      </c>
      <c r="J75" s="2" t="inlineStr">
        <is>
          <t>Project</t>
        </is>
      </c>
      <c r="K75" s="2" t="inlineStr">
        <is>
          <t>Low</t>
        </is>
      </c>
      <c r="L75" s="2" t="inlineStr">
        <is>
          <t>Open</t>
        </is>
      </c>
      <c r="M75" s="2" t="inlineStr">
        <is>
          <t>2026-10-21</t>
        </is>
      </c>
      <c r="N75" s="2" t="inlineStr"/>
      <c r="O75" s="2" t="inlineStr"/>
    </row>
    <row r="76">
      <c r="A76" s="2" t="inlineStr">
        <is>
          <t>OUT-15</t>
        </is>
      </c>
      <c r="B76" s="2" t="inlineStr">
        <is>
          <t>Outlet</t>
        </is>
      </c>
      <c r="C76" s="2" t="inlineStr">
        <is>
          <t>Physical</t>
        </is>
      </c>
      <c r="D76" s="2" t="inlineStr">
        <is>
          <t>Inconsistency</t>
        </is>
      </c>
      <c r="E76" s="2" t="inlineStr">
        <is>
          <t>Motor and pressure data</t>
        </is>
      </c>
      <c r="F76" s="2" t="inlineStr">
        <is>
          <t>Motor 1.5 kW 400 V (datasheet, A1) vs &lt;1 kW (Q&amp;A); cable W1M1 'Hydraulic motor 24Vdc'. Relief 150/130 bar (A1) vs 160 bar in simulator, 110 bar (T1). Tank 12 l (A1 part list) vs 10 l; cylinder HRC-N-D vs HCR-C-D; motor starter location (action 91).</t>
        </is>
      </c>
      <c r="G76" s="2" t="inlineStr">
        <is>
          <t>Servi A1, Q&amp;A, JB 18068; design_basis.toml</t>
        </is>
      </c>
      <c r="H76" s="2" t="inlineStr"/>
      <c r="I76" s="2" t="inlineStr">
        <is>
          <t>Servi</t>
        </is>
      </c>
      <c r="J76" s="2" t="inlineStr">
        <is>
          <t>Bjørn</t>
        </is>
      </c>
      <c r="K76" s="2" t="inlineStr">
        <is>
          <t>Low</t>
        </is>
      </c>
      <c r="L76" s="2" t="inlineStr">
        <is>
          <t>Open</t>
        </is>
      </c>
      <c r="M76" s="2" t="inlineStr">
        <is>
          <t>2026-10-21</t>
        </is>
      </c>
      <c r="N76" s="2" t="inlineStr"/>
      <c r="O76" s="2" t="inlineStr"/>
    </row>
    <row r="77">
      <c r="A77" s="2" t="inlineStr">
        <is>
          <t>OUT-16</t>
        </is>
      </c>
      <c r="B77" s="2" t="inlineStr">
        <is>
          <t>Outlet</t>
        </is>
      </c>
      <c r="C77" s="2" t="inlineStr">
        <is>
          <t>Physical</t>
        </is>
      </c>
      <c r="D77" s="2" t="inlineStr">
        <is>
          <t>Missing info</t>
        </is>
      </c>
      <c r="E77" s="2" t="inlineStr">
        <is>
          <t>Counter frequency</t>
        </is>
      </c>
      <c r="F77" s="2" t="inlineStr">
        <is>
          <t>~300 Hz at 3.5 l/min and ~5200 pulses/l; minus stroke of one cylinder pushes 4.7-5.4 l/min through its A-line meter (~410-470 Hz), near the QG100 top and the 750-638 500 Hz limit. Reverse-flow accuracy unknown.</t>
        </is>
      </c>
      <c r="G77" s="2" t="inlineStr">
        <is>
          <t>HySense QG datasheet; 750-638 manual; CAS FD Outlet OI11</t>
        </is>
      </c>
      <c r="H77" s="2" t="inlineStr">
        <is>
          <t>Test at FAT</t>
        </is>
      </c>
      <c r="I77" s="2" t="inlineStr">
        <is>
          <t>Internal</t>
        </is>
      </c>
      <c r="J77" s="2" t="inlineStr">
        <is>
          <t>Bjørn</t>
        </is>
      </c>
      <c r="K77" s="2" t="inlineStr">
        <is>
          <t>Medium</t>
        </is>
      </c>
      <c r="L77" s="2" t="inlineStr">
        <is>
          <t>Open</t>
        </is>
      </c>
      <c r="M77" s="2" t="inlineStr">
        <is>
          <t>2026-10-21</t>
        </is>
      </c>
      <c r="N77" s="2" t="inlineStr"/>
      <c r="O77" s="2" t="inlineStr"/>
    </row>
    <row r="78">
      <c r="A78" s="2" t="inlineStr">
        <is>
          <t>OUT-17</t>
        </is>
      </c>
      <c r="B78" s="2" t="inlineStr">
        <is>
          <t>Outlet</t>
        </is>
      </c>
      <c r="C78" s="2" t="inlineStr">
        <is>
          <t>Physical</t>
        </is>
      </c>
      <c r="D78" s="2" t="inlineStr">
        <is>
          <t>Decision</t>
        </is>
      </c>
      <c r="E78" s="2" t="inlineStr">
        <is>
          <t>Integrated FAT at Østerbø</t>
        </is>
      </c>
      <c r="F78" s="2" t="inlineStr">
        <is>
          <t>Integrated test of our control cabinet with Servi's hydraulic cabinet, end of October: scope, hose lengths, fail-safe and hand pump test.</t>
        </is>
      </c>
      <c r="G78" s="2" t="inlineStr">
        <is>
          <t>Mail Fredrik 2026-10-07</t>
        </is>
      </c>
      <c r="H78" s="2" t="inlineStr"/>
      <c r="I78" s="2" t="inlineStr">
        <is>
          <t>Østerbø / Servi</t>
        </is>
      </c>
      <c r="J78" s="2" t="inlineStr">
        <is>
          <t>Project</t>
        </is>
      </c>
      <c r="K78" s="2" t="inlineStr">
        <is>
          <t>High</t>
        </is>
      </c>
      <c r="L78" s="2" t="inlineStr">
        <is>
          <t>Open</t>
        </is>
      </c>
      <c r="M78" s="2" t="inlineStr">
        <is>
          <t>2026-10-21</t>
        </is>
      </c>
      <c r="N78" s="2" t="inlineStr"/>
      <c r="O78" s="2" t="inlineStr"/>
    </row>
    <row r="79">
      <c r="A79" s="2" t="inlineStr">
        <is>
          <t>OUT-18</t>
        </is>
      </c>
      <c r="B79" s="2" t="inlineStr">
        <is>
          <t>Outlet</t>
        </is>
      </c>
      <c r="C79" s="2" t="inlineStr">
        <is>
          <t>Software</t>
        </is>
      </c>
      <c r="D79" s="2" t="inlineStr">
        <is>
          <t>Code bug</t>
        </is>
      </c>
      <c r="E79" s="2" t="inlineStr">
        <is>
          <t>Close never confirmed without 2nd pressure transmitter</t>
        </is>
      </c>
      <c r="F79" s="2" t="inlineStr">
        <is>
          <t>With MaxPressureClose &gt; 0 on an unwired channel a 0 % setpoint never reaches Closed → travel timeout and fault; with 0 the end-position check is disabled. CalibrateOpen also needs Opened by pressure.</t>
        </is>
      </c>
      <c r="G79" s="2" t="inlineStr">
        <is>
          <t>FB.Outlet.OutletControl; CylinderInputDUT</t>
        </is>
      </c>
      <c r="H79" s="2" t="inlineStr">
        <is>
          <t>Depends on OUT PT decision</t>
        </is>
      </c>
      <c r="I79" s="2" t="inlineStr">
        <is>
          <t>Internal</t>
        </is>
      </c>
      <c r="J79" s="2" t="inlineStr">
        <is>
          <t>Bjørn</t>
        </is>
      </c>
      <c r="K79" s="2" t="inlineStr">
        <is>
          <t>High</t>
        </is>
      </c>
      <c r="L79" s="2" t="inlineStr">
        <is>
          <t>Open</t>
        </is>
      </c>
      <c r="M79" s="2" t="inlineStr">
        <is>
          <t>2026-10-21</t>
        </is>
      </c>
      <c r="N79" s="2" t="inlineStr"/>
      <c r="O79" s="2" t="inlineStr"/>
    </row>
    <row r="80">
      <c r="A80" s="2" t="inlineStr">
        <is>
          <t>OUT-19</t>
        </is>
      </c>
      <c r="B80" s="2" t="inlineStr">
        <is>
          <t>Outlet</t>
        </is>
      </c>
      <c r="C80" s="2" t="inlineStr">
        <is>
          <t>Physical</t>
        </is>
      </c>
      <c r="D80" s="2" t="inlineStr">
        <is>
          <t>Missing hardware</t>
        </is>
      </c>
      <c r="E80" s="2" t="inlineStr">
        <is>
          <t>Hydraulic pump running feedback</t>
        </is>
      </c>
      <c r="F80" s="2" t="inlineStr">
        <is>
          <t>Pump is DOL; PLC has no running feedback (Status.Running = start command). Contactor auxiliary contact available in JB 18068?</t>
        </is>
      </c>
      <c r="G80" s="2" t="inlineStr">
        <is>
          <t>OutletControl.HydraulicPumpControl; Servi JB 18068</t>
        </is>
      </c>
      <c r="H80" s="2" t="inlineStr"/>
      <c r="I80" s="2" t="inlineStr">
        <is>
          <t>Servi</t>
        </is>
      </c>
      <c r="J80" s="2" t="inlineStr">
        <is>
          <t>Bjørn</t>
        </is>
      </c>
      <c r="K80" s="2" t="inlineStr">
        <is>
          <t>Medium</t>
        </is>
      </c>
      <c r="L80" s="2" t="inlineStr">
        <is>
          <t>Open</t>
        </is>
      </c>
      <c r="M80" s="2" t="inlineStr">
        <is>
          <t>2026-10-21</t>
        </is>
      </c>
      <c r="N80" s="2" t="inlineStr"/>
      <c r="O80" s="2" t="inlineStr"/>
    </row>
    <row r="81">
      <c r="A81" s="2" t="inlineStr">
        <is>
          <t>OUT-20</t>
        </is>
      </c>
      <c r="B81" s="2" t="inlineStr">
        <is>
          <t>Outlet</t>
        </is>
      </c>
      <c r="C81" s="2" t="inlineStr">
        <is>
          <t>Software</t>
        </is>
      </c>
      <c r="D81" s="2" t="inlineStr">
        <is>
          <t>Code bug</t>
        </is>
      </c>
      <c r="E81" s="2" t="inlineStr">
        <is>
          <t>End-position pressure limit cannot trip</t>
        </is>
      </c>
      <c r="F81" s="2" t="inlineStr">
        <is>
          <t>Servi A1 port pressure limiters are 100 bar; PLC end-position limit is also 100 bar with strict '&gt;'. Set ~70-80 bar after FAT; align simulator (160 bar).</t>
        </is>
      </c>
      <c r="G81" s="2" t="inlineStr">
        <is>
          <t>CAS FD Outlet OI3; Servi A1; OutletConfig</t>
        </is>
      </c>
      <c r="H81" s="2" t="inlineStr"/>
      <c r="I81" s="2" t="inlineStr">
        <is>
          <t>Internal</t>
        </is>
      </c>
      <c r="J81" s="2" t="inlineStr">
        <is>
          <t>Bjørn</t>
        </is>
      </c>
      <c r="K81" s="2" t="inlineStr">
        <is>
          <t>High</t>
        </is>
      </c>
      <c r="L81" s="2" t="inlineStr">
        <is>
          <t>Open</t>
        </is>
      </c>
      <c r="M81" s="2" t="inlineStr">
        <is>
          <t>2026-10-21</t>
        </is>
      </c>
      <c r="N81" s="2" t="inlineStr"/>
      <c r="O81" s="2" t="inlineStr"/>
    </row>
    <row r="82">
      <c r="A82" s="2" t="inlineStr">
        <is>
          <t>OUT-21</t>
        </is>
      </c>
      <c r="B82" s="2" t="inlineStr">
        <is>
          <t>Outlet</t>
        </is>
      </c>
      <c r="C82" s="2" t="inlineStr">
        <is>
          <t>Software</t>
        </is>
      </c>
      <c r="D82" s="2" t="inlineStr">
        <is>
          <t>Code bug</t>
        </is>
      </c>
      <c r="E82" s="2" t="inlineStr">
        <is>
          <t>Pressure scaling 0-250 bar</t>
        </is>
      </c>
      <c r="F82" s="2" t="inlineStr">
        <is>
          <t>Production pressure scaling must be 0-250 bar; DUT default is 0-10.</t>
        </is>
      </c>
      <c r="G82" s="2" t="inlineStr">
        <is>
          <t>CAS FD Outlet OI4</t>
        </is>
      </c>
      <c r="H82" s="2" t="inlineStr"/>
      <c r="I82" s="2" t="inlineStr">
        <is>
          <t>Internal</t>
        </is>
      </c>
      <c r="J82" s="2" t="inlineStr">
        <is>
          <t>Bjørn</t>
        </is>
      </c>
      <c r="K82" s="2" t="inlineStr">
        <is>
          <t>Medium</t>
        </is>
      </c>
      <c r="L82" s="2" t="inlineStr">
        <is>
          <t>Open</t>
        </is>
      </c>
      <c r="M82" s="2" t="inlineStr">
        <is>
          <t>2026-10-21</t>
        </is>
      </c>
      <c r="N82" s="2" t="inlineStr"/>
      <c r="O82" s="2" t="inlineStr"/>
    </row>
    <row r="83">
      <c r="A83" s="2" t="inlineStr">
        <is>
          <t>OUT-22</t>
        </is>
      </c>
      <c r="B83" s="2" t="inlineStr">
        <is>
          <t>Outlet</t>
        </is>
      </c>
      <c r="C83" s="2" t="inlineStr">
        <is>
          <t>Software</t>
        </is>
      </c>
      <c r="D83" s="2" t="inlineStr">
        <is>
          <t>Code bug</t>
        </is>
      </c>
      <c r="E83" s="2" t="inlineStr">
        <is>
          <t>Default span treated as calibrated</t>
        </is>
      </c>
      <c r="F83" s="2" t="inlineStr">
        <is>
          <t>Default span 0-2000 counts counts as calibrated; calibration must be a commissioning step. FaultReset unused.</t>
        </is>
      </c>
      <c r="G83" s="2" t="inlineStr">
        <is>
          <t>CAS FD Outlet OI15</t>
        </is>
      </c>
      <c r="H83" s="2" t="inlineStr"/>
      <c r="I83" s="2" t="inlineStr">
        <is>
          <t>Internal</t>
        </is>
      </c>
      <c r="J83" s="2" t="inlineStr">
        <is>
          <t>Bjørn</t>
        </is>
      </c>
      <c r="K83" s="2" t="inlineStr">
        <is>
          <t>Low</t>
        </is>
      </c>
      <c r="L83" s="2" t="inlineStr">
        <is>
          <t>Open</t>
        </is>
      </c>
      <c r="M83" s="2" t="inlineStr">
        <is>
          <t>2026-10-21</t>
        </is>
      </c>
      <c r="N83" s="2" t="inlineStr"/>
      <c r="O83" s="2" t="inlineStr"/>
    </row>
    <row r="84">
      <c r="A84" s="2" t="inlineStr">
        <is>
          <t>OUT-23</t>
        </is>
      </c>
      <c r="B84" s="2" t="inlineStr">
        <is>
          <t>Outlet</t>
        </is>
      </c>
      <c r="C84" s="2" t="inlineStr">
        <is>
          <t>Both</t>
        </is>
      </c>
      <c r="D84" s="2" t="inlineStr">
        <is>
          <t>Inconsistency</t>
        </is>
      </c>
      <c r="E84" s="2" t="inlineStr">
        <is>
          <t>PLC Reset output has no JB counterpart</t>
        </is>
      </c>
      <c r="F84" s="2" t="inlineStr">
        <is>
          <t>PLC drives a pump Reset output; JB 18068 has no matching input. DI -R1-017 / DO -R1-020 wiring needed.</t>
        </is>
      </c>
      <c r="G84" s="2" t="inlineStr">
        <is>
          <t>CAS FD Outlet OI7; JB 18068</t>
        </is>
      </c>
      <c r="H84" s="2" t="inlineStr"/>
      <c r="I84" s="2" t="inlineStr">
        <is>
          <t>Servi</t>
        </is>
      </c>
      <c r="J84" s="2" t="inlineStr">
        <is>
          <t>Bjørn</t>
        </is>
      </c>
      <c r="K84" s="2" t="inlineStr">
        <is>
          <t>Medium</t>
        </is>
      </c>
      <c r="L84" s="2" t="inlineStr">
        <is>
          <t>Open</t>
        </is>
      </c>
      <c r="M84" s="2" t="inlineStr">
        <is>
          <t>2026-10-21</t>
        </is>
      </c>
      <c r="N84" s="2" t="inlineStr"/>
      <c r="O84" s="2" t="inlineStr"/>
    </row>
    <row r="85">
      <c r="A85" s="2" t="inlineStr">
        <is>
          <t>OUT-24</t>
        </is>
      </c>
      <c r="B85" s="2" t="inlineStr">
        <is>
          <t>Outlet</t>
        </is>
      </c>
      <c r="C85" s="2" t="inlineStr">
        <is>
          <t>Physical</t>
        </is>
      </c>
      <c r="D85" s="2" t="inlineStr">
        <is>
          <t>Missing info</t>
        </is>
      </c>
      <c r="E85" s="2" t="inlineStr">
        <is>
          <t>Manual override procedure (O&amp;M)</t>
        </is>
      </c>
      <c r="F85" s="2" t="inlineStr">
        <is>
          <t>Hand pump and PSL manual levers, plus weekly end-position exercise, to be written into the O&amp;M manual.</t>
        </is>
      </c>
      <c r="G85" s="2" t="inlineStr">
        <is>
          <t>CAS FD Outlet OI17; decision 2026-10-21</t>
        </is>
      </c>
      <c r="H85" s="2" t="inlineStr"/>
      <c r="I85" s="2" t="inlineStr">
        <is>
          <t>Internal</t>
        </is>
      </c>
      <c r="J85" s="2" t="inlineStr">
        <is>
          <t>Project</t>
        </is>
      </c>
      <c r="K85" s="2" t="inlineStr">
        <is>
          <t>Low</t>
        </is>
      </c>
      <c r="L85" s="2" t="inlineStr">
        <is>
          <t>Open</t>
        </is>
      </c>
      <c r="M85" s="2" t="inlineStr">
        <is>
          <t>2026-10-21</t>
        </is>
      </c>
      <c r="N85" s="2" t="inlineStr"/>
      <c r="O85" s="2" t="inlineStr"/>
    </row>
    <row r="86">
      <c r="A86" s="2" t="inlineStr">
        <is>
          <t>OUT-25</t>
        </is>
      </c>
      <c r="B86" s="2" t="inlineStr">
        <is>
          <t>Outlet</t>
        </is>
      </c>
      <c r="C86" s="2" t="inlineStr">
        <is>
          <t>Both</t>
        </is>
      </c>
      <c r="D86" s="2" t="inlineStr">
        <is>
          <t>Missing info</t>
        </is>
      </c>
      <c r="E86" s="2" t="inlineStr">
        <is>
          <t>Position drift limit</t>
        </is>
      </c>
      <c r="F86" s="2" t="inlineStr">
        <is>
          <t>Drift limit of 2 pulses (HOLD in FD) to be verified at FAT.</t>
        </is>
      </c>
      <c r="G86" s="2" t="inlineStr">
        <is>
          <t>CAS FD Outlet OI18</t>
        </is>
      </c>
      <c r="H86" s="2" t="inlineStr"/>
      <c r="I86" s="2" t="inlineStr">
        <is>
          <t>Internal</t>
        </is>
      </c>
      <c r="J86" s="2" t="inlineStr">
        <is>
          <t>Bjørn</t>
        </is>
      </c>
      <c r="K86" s="2" t="inlineStr">
        <is>
          <t>Low</t>
        </is>
      </c>
      <c r="L86" s="2" t="inlineStr">
        <is>
          <t>Open</t>
        </is>
      </c>
      <c r="M86" s="2" t="inlineStr">
        <is>
          <t>2026-10-21</t>
        </is>
      </c>
      <c r="N86" s="2" t="inlineStr"/>
      <c r="O86" s="2" t="inlineStr"/>
    </row>
    <row r="87">
      <c r="A87" s="2" t="inlineStr">
        <is>
          <t>OX-28</t>
        </is>
      </c>
      <c r="B87" s="2" t="inlineStr">
        <is>
          <t>Oxygen</t>
        </is>
      </c>
      <c r="C87" s="2" t="inlineStr">
        <is>
          <t>Software</t>
        </is>
      </c>
      <c r="D87" s="2" t="inlineStr">
        <is>
          <t>Code bug</t>
        </is>
      </c>
      <c r="E87" s="2" t="inlineStr">
        <is>
          <t>RIO link loss freezes oxygen line sensors</t>
        </is>
      </c>
      <c r="F87" s="2" t="inlineStr">
        <is>
          <t>Same as IN-19 on the oxygen side: PT41-43 / PT44-46 (InletRIO) and FT41-43, PT40 (CommonRIO) keep their last value and good quality when the RIO link is lost, so PIC4n, the valve permit I4 and FIC4n run on frozen values.</t>
        </is>
      </c>
      <c r="G87" s="2" t="inlineStr">
        <is>
          <t>IN-19; FB.RIO.InletRIO / CommonRIO InputMapping; FB.OxySystem.OxyControl</t>
        </is>
      </c>
      <c r="H87" s="2" t="inlineStr">
        <is>
          <t>Mark the line's sensors BadQuality on RIO comm loss (as IN-19): PIC on preset speed, valve closed, line out of auto</t>
        </is>
      </c>
      <c r="I87" s="2" t="inlineStr">
        <is>
          <t>Internal</t>
        </is>
      </c>
      <c r="J87" s="2" t="inlineStr">
        <is>
          <t>Sigurd</t>
        </is>
      </c>
      <c r="K87" s="2" t="inlineStr">
        <is>
          <t>High</t>
        </is>
      </c>
      <c r="L87" s="2" t="inlineStr">
        <is>
          <t>Open</t>
        </is>
      </c>
      <c r="M87" s="2" t="inlineStr">
        <is>
          <t>2026-10-22</t>
        </is>
      </c>
      <c r="N87" s="2" t="n"/>
      <c r="O87" s="2" t="n"/>
    </row>
  </sheetData>
  <autoFilter ref="A1:O87"/>
  <conditionalFormatting sqref="A2:O500">
    <cfRule type="expression" priority="1" dxfId="0" stopIfTrue="1">
      <formula>$L2="Fixed"</formula>
    </cfRule>
  </conditionalFormatting>
  <conditionalFormatting sqref="K2:K500"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L2:L500">
    <cfRule type="cellIs" priority="5" operator="equal" dxfId="0">
      <formula>"Decided"</formula>
    </cfRule>
    <cfRule type="cellIs" priority="6" operator="equal" dxfId="4">
      <formula>"Closed"</formula>
    </cfRule>
  </conditionalFormatting>
  <dataValidations count="5">
    <dataValidation sqref="B2:B500" showDropDown="0" showInputMessage="0" showErrorMessage="0" allowBlank="1" type="list">
      <formula1>"General,Inlet,Oxygen,Outlet"</formula1>
    </dataValidation>
    <dataValidation sqref="C2:C500" showDropDown="0" showInputMessage="0" showErrorMessage="0" allowBlank="1" type="list">
      <formula1>"Physical,Software,Both"</formula1>
    </dataValidation>
    <dataValidation sqref="D2:D500" showDropDown="0" showInputMessage="0" showErrorMessage="0" allowBlank="1" type="list">
      <formula1>"Decision,Inconsistency,Missing info,Missing hardware,Code bug,PLC gap"</formula1>
    </dataValidation>
    <dataValidation sqref="K2:K500" showDropDown="0" showInputMessage="0" showErrorMessage="0" allowBlank="1" type="list">
      <formula1>"High,Medium,Low"</formula1>
    </dataValidation>
    <dataValidation sqref="L2:L500" showDropDown="0" showInputMessage="0" showErrorMessage="0" allowBlank="1" type="list">
      <formula1>"Open,In progress,Decided,Fixed,Closed"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  <col width="10" customWidth="1" min="8" max="8"/>
  </cols>
  <sheetData>
    <row r="1">
      <c r="A1" s="3" t="inlineStr">
        <is>
          <t>Open items by system and priority (counts update from the register)</t>
        </is>
      </c>
    </row>
    <row r="3">
      <c r="A3" s="4" t="inlineStr">
        <is>
          <t>System</t>
        </is>
      </c>
      <c r="B3" s="4" t="inlineStr">
        <is>
          <t>High</t>
        </is>
      </c>
      <c r="C3" s="4" t="inlineStr">
        <is>
          <t>Medium</t>
        </is>
      </c>
      <c r="D3" s="4" t="inlineStr">
        <is>
          <t>Low</t>
        </is>
      </c>
      <c r="E3" s="4" t="inlineStr">
        <is>
          <t>Open total</t>
        </is>
      </c>
      <c r="F3" s="4" t="inlineStr">
        <is>
          <t>Decided</t>
        </is>
      </c>
      <c r="G3" s="4" t="inlineStr">
        <is>
          <t>Fixed</t>
        </is>
      </c>
      <c r="H3" s="4" t="inlineStr">
        <is>
          <t>All items</t>
        </is>
      </c>
    </row>
    <row r="4">
      <c r="A4" s="5" t="inlineStr">
        <is>
          <t>General</t>
        </is>
      </c>
      <c r="B4" s="5">
        <f>COUNTIFS('Outstanding items'!$B:$B,$A4,'Outstanding items'!$K:$K,"High",'Outstanding items'!$L:$L,"Open")</f>
        <v/>
      </c>
      <c r="C4" s="5">
        <f>COUNTIFS('Outstanding items'!$B:$B,$A4,'Outstanding items'!$K:$K,"Medium",'Outstanding items'!$L:$L,"Open")</f>
        <v/>
      </c>
      <c r="D4" s="5">
        <f>COUNTIFS('Outstanding items'!$B:$B,$A4,'Outstanding items'!$K:$K,"Low",'Outstanding items'!$L:$L,"Open")</f>
        <v/>
      </c>
      <c r="E4" s="5">
        <f>COUNTIFS('Outstanding items'!$B:$B,$A4,'Outstanding items'!$L:$L,"Open")</f>
        <v/>
      </c>
      <c r="F4" s="5">
        <f>COUNTIFS('Outstanding items'!$B:$B,$A4,'Outstanding items'!$L:$L,"Decided")</f>
        <v/>
      </c>
      <c r="G4" s="5">
        <f>COUNTIFS('Outstanding items'!$B:$B,$A4,'Outstanding items'!$L:$L,"Fixed")</f>
        <v/>
      </c>
      <c r="H4" s="5">
        <f>COUNTIFS('Outstanding items'!$B:$B,$A4)</f>
        <v/>
      </c>
    </row>
    <row r="5">
      <c r="A5" s="5" t="inlineStr">
        <is>
          <t>Inlet</t>
        </is>
      </c>
      <c r="B5" s="5">
        <f>COUNTIFS('Outstanding items'!$B:$B,$A5,'Outstanding items'!$K:$K,"High",'Outstanding items'!$L:$L,"Open")</f>
        <v/>
      </c>
      <c r="C5" s="5">
        <f>COUNTIFS('Outstanding items'!$B:$B,$A5,'Outstanding items'!$K:$K,"Medium",'Outstanding items'!$L:$L,"Open")</f>
        <v/>
      </c>
      <c r="D5" s="5">
        <f>COUNTIFS('Outstanding items'!$B:$B,$A5,'Outstanding items'!$K:$K,"Low",'Outstanding items'!$L:$L,"Open")</f>
        <v/>
      </c>
      <c r="E5" s="5">
        <f>COUNTIFS('Outstanding items'!$B:$B,$A5,'Outstanding items'!$L:$L,"Open")</f>
        <v/>
      </c>
      <c r="F5" s="5">
        <f>COUNTIFS('Outstanding items'!$B:$B,$A5,'Outstanding items'!$L:$L,"Decided")</f>
        <v/>
      </c>
      <c r="G5" s="5">
        <f>COUNTIFS('Outstanding items'!$B:$B,$A5,'Outstanding items'!$L:$L,"Fixed")</f>
        <v/>
      </c>
      <c r="H5" s="5">
        <f>COUNTIFS('Outstanding items'!$B:$B,$A5)</f>
        <v/>
      </c>
    </row>
    <row r="6">
      <c r="A6" s="5" t="inlineStr">
        <is>
          <t>Oxygen</t>
        </is>
      </c>
      <c r="B6" s="5">
        <f>COUNTIFS('Outstanding items'!$B:$B,$A6,'Outstanding items'!$K:$K,"High",'Outstanding items'!$L:$L,"Open")</f>
        <v/>
      </c>
      <c r="C6" s="5">
        <f>COUNTIFS('Outstanding items'!$B:$B,$A6,'Outstanding items'!$K:$K,"Medium",'Outstanding items'!$L:$L,"Open")</f>
        <v/>
      </c>
      <c r="D6" s="5">
        <f>COUNTIFS('Outstanding items'!$B:$B,$A6,'Outstanding items'!$K:$K,"Low",'Outstanding items'!$L:$L,"Open")</f>
        <v/>
      </c>
      <c r="E6" s="5">
        <f>COUNTIFS('Outstanding items'!$B:$B,$A6,'Outstanding items'!$L:$L,"Open")</f>
        <v/>
      </c>
      <c r="F6" s="5">
        <f>COUNTIFS('Outstanding items'!$B:$B,$A6,'Outstanding items'!$L:$L,"Decided")</f>
        <v/>
      </c>
      <c r="G6" s="5">
        <f>COUNTIFS('Outstanding items'!$B:$B,$A6,'Outstanding items'!$L:$L,"Fixed")</f>
        <v/>
      </c>
      <c r="H6" s="5">
        <f>COUNTIFS('Outstanding items'!$B:$B,$A6)</f>
        <v/>
      </c>
    </row>
    <row r="7">
      <c r="A7" s="5" t="inlineStr">
        <is>
          <t>Outlet</t>
        </is>
      </c>
      <c r="B7" s="5">
        <f>COUNTIFS('Outstanding items'!$B:$B,$A7,'Outstanding items'!$K:$K,"High",'Outstanding items'!$L:$L,"Open")</f>
        <v/>
      </c>
      <c r="C7" s="5">
        <f>COUNTIFS('Outstanding items'!$B:$B,$A7,'Outstanding items'!$K:$K,"Medium",'Outstanding items'!$L:$L,"Open")</f>
        <v/>
      </c>
      <c r="D7" s="5">
        <f>COUNTIFS('Outstanding items'!$B:$B,$A7,'Outstanding items'!$K:$K,"Low",'Outstanding items'!$L:$L,"Open")</f>
        <v/>
      </c>
      <c r="E7" s="5">
        <f>COUNTIFS('Outstanding items'!$B:$B,$A7,'Outstanding items'!$L:$L,"Open")</f>
        <v/>
      </c>
      <c r="F7" s="5">
        <f>COUNTIFS('Outstanding items'!$B:$B,$A7,'Outstanding items'!$L:$L,"Decided")</f>
        <v/>
      </c>
      <c r="G7" s="5">
        <f>COUNTIFS('Outstanding items'!$B:$B,$A7,'Outstanding items'!$L:$L,"Fixed")</f>
        <v/>
      </c>
      <c r="H7" s="5">
        <f>COUNTIFS('Outstanding items'!$B:$B,$A7)</f>
        <v/>
      </c>
    </row>
    <row r="8">
      <c r="A8" s="6" t="inlineStr">
        <is>
          <t>Total</t>
        </is>
      </c>
      <c r="B8" s="5">
        <f>SUM(B4:B7)</f>
        <v/>
      </c>
      <c r="C8" s="5">
        <f>SUM(C4:C7)</f>
        <v/>
      </c>
      <c r="D8" s="5">
        <f>SUM(D4:D7)</f>
        <v/>
      </c>
      <c r="E8" s="5">
        <f>SUM(E4:E7)</f>
        <v/>
      </c>
      <c r="F8" s="5">
        <f>SUM(F4:F7)</f>
        <v/>
      </c>
      <c r="G8" s="5">
        <f>SUM(G4:G7)</f>
        <v/>
      </c>
      <c r="H8" s="5">
        <f>SUM(H4:H7)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3" t="inlineStr">
        <is>
          <t>How to use</t>
        </is>
      </c>
    </row>
    <row r="2">
      <c r="A2" s="7" t="inlineStr">
        <is>
          <t>Add a row</t>
        </is>
      </c>
      <c r="B2" s="8" t="inlineStr">
        <is>
          <t>One row per item. ID = system prefix (GEN/IN/OX/OUT) + next number. Never reuse an ID.</t>
        </is>
      </c>
    </row>
    <row r="3">
      <c r="A3" s="7" t="inlineStr">
        <is>
          <t>Domain</t>
        </is>
      </c>
      <c r="B3" s="8" t="inlineStr">
        <is>
          <t>Physical = equipment, wiring, instruments, supplier hardware; Software = PLC/HMI/simulator code and configuration; Both = needs a physical and a software change.</t>
        </is>
      </c>
    </row>
    <row r="4">
      <c r="A4" s="7" t="inlineStr">
        <is>
          <t>Category</t>
        </is>
      </c>
      <c r="B4" s="8" t="inlineStr">
        <is>
          <t>Decision = someone must choose; Inconsistency = documents/PLC disagree; Missing info = data needed from a supplier or the project; Missing hardware = sensor/actuator/signal not on drawings or not ordered; Code bug = PLC/HMI does something wrong; PLC gap = FD/alarm list requires something the PLC does not do yet.</t>
        </is>
      </c>
    </row>
    <row r="5">
      <c r="A5" s="7" t="inlineStr">
        <is>
          <t>Ask / owner of answer</t>
        </is>
      </c>
      <c r="B5" s="8" t="inlineStr">
        <is>
          <t>Who must answer: Framo, Servi, Østerbø, Normex, Chucaotech, Customer, Internal, Project.</t>
        </is>
      </c>
    </row>
    <row r="6">
      <c r="A6" s="7" t="inlineStr">
        <is>
          <t>Responsible</t>
        </is>
      </c>
      <c r="B6" s="8" t="inlineStr">
        <is>
          <t>Who follows up internally.</t>
        </is>
      </c>
    </row>
    <row r="7">
      <c r="A7" s="7" t="inlineStr">
        <is>
          <t>Status</t>
        </is>
      </c>
      <c r="B7" s="8" t="inlineStr">
        <is>
          <t>Open → In progress → Decided (fill Decision/answer and Decided date) → Fixed (changed in CODESYS / code: whole row green, Decision/answer says what was done and how it was tested) → Closed (verified, docs updated).</t>
        </is>
      </c>
    </row>
    <row r="8">
      <c r="A8" s="7" t="inlineStr">
        <is>
          <t>Priority</t>
        </is>
      </c>
      <c r="B8" s="8" t="inlineStr">
        <is>
          <t>High = blocks FAT, safety or supplier delivery; Medium = needed before commissioning; Low = clean-up.</t>
        </is>
      </c>
    </row>
    <row r="9">
      <c r="A9" s="7" t="inlineStr">
        <is>
          <t>Sources</t>
        </is>
      </c>
      <c r="B9" s="8" t="inlineStr">
        <is>
          <t>Initial content: document/PLC review 2026-10-21 (FD-01 rev B, FD-02 alarm list rev A, Framo spec rev B, Servi drawings A1 and JB 18068, P&amp;ID rev A, PLC heimdall-plc main) and project meeting 2026-10-21.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2026-10-21T11:21:28Z</dcterms:created>
  <dcterms:modified xmlns:dcterms="http://purl.org/dc/terms/" xmlns:xsi="http://www.w3.org/2001/XMLSchema-instance" xsi:type="dcterms:W3CDTF">2026-10-22T08:25:15Z</dcterms:modified>
</cp:coreProperties>
</file>