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standing items" sheetId="1" state="visible" r:id="rId1"/>
    <sheet xmlns:r="http://schemas.openxmlformats.org/officeDocument/2006/relationships" name="Summary" sheetId="2" state="visible" r:id="rId2"/>
    <sheet xmlns:r="http://schemas.openxmlformats.org/officeDocument/2006/relationships" name="Legend" sheetId="3" state="visible" r:id="rId3"/>
  </sheets>
  <definedNames>
    <definedName name="_xlnm._FilterDatabase" localSheetId="0" hidden="1">'Outstanding items'!$A$1:$O$100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1"/>
    </font>
    <font>
      <name val="Arial"/>
      <b val="1"/>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1" fillId="2" borderId="1" pivotButton="0" quotePrefix="0" xfId="0"/>
    <xf numFmtId="0" fontId="2" fillId="0" borderId="1" pivotButton="0" quotePrefix="0" xfId="0"/>
    <xf numFmtId="0" fontId="4" fillId="0" borderId="1" pivotButton="0" quotePrefix="0" xfId="0"/>
    <xf numFmtId="0" fontId="4" fillId="0" borderId="0" pivotButton="0" quotePrefix="0" xfId="0"/>
    <xf numFmtId="0" fontId="2" fillId="0" borderId="0" applyAlignment="1" pivotButton="0" quotePrefix="0" xfId="0">
      <alignment vertical="top" wrapText="1"/>
    </xf>
  </cellXfs>
  <cellStyles count="1">
    <cellStyle name="Normal" xfId="0" builtinId="0" hidden="0"/>
  </cellStyles>
  <dxfs count="5">
    <dxf>
      <fill>
        <patternFill patternType="solid">
          <fgColor rgb="00C6EFCE"/>
          <bgColor rgb="00C6EFCE"/>
        </patternFill>
      </fill>
    </dxf>
    <dxf>
      <fill>
        <patternFill patternType="solid">
          <fgColor rgb="00F8CBAD"/>
          <bgColor rgb="00F8CBAD"/>
        </patternFill>
      </fill>
    </dxf>
    <dxf>
      <fill>
        <patternFill patternType="solid">
          <fgColor rgb="00FFE699"/>
          <bgColor rgb="00FFE699"/>
        </patternFill>
      </fill>
    </dxf>
    <dxf>
      <fill>
        <patternFill patternType="solid">
          <fgColor rgb="00E2EFDA"/>
          <bgColor rgb="00E2EFDA"/>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0" customWidth="1" min="2" max="2"/>
    <col width="11" customWidth="1" min="3" max="3"/>
    <col width="14" customWidth="1" min="4" max="4"/>
    <col width="30" customWidth="1" min="5" max="5"/>
    <col width="70" customWidth="1" min="6" max="6"/>
    <col width="38" customWidth="1" min="7" max="7"/>
    <col width="34" customWidth="1" min="8" max="8"/>
    <col width="18" customWidth="1" min="9" max="9"/>
    <col width="13" customWidth="1" min="10" max="10"/>
    <col width="10" customWidth="1" min="11" max="11"/>
    <col width="10" customWidth="1" min="12" max="12"/>
    <col width="11" customWidth="1" min="13" max="13"/>
    <col width="45" customWidth="1" min="14" max="14"/>
    <col width="11" customWidth="1" min="15" max="15"/>
  </cols>
  <sheetData>
    <row r="1">
      <c r="A1" s="1" t="inlineStr">
        <is>
          <t>ID</t>
        </is>
      </c>
      <c r="B1" s="1" t="inlineStr">
        <is>
          <t>System</t>
        </is>
      </c>
      <c r="C1" s="1" t="inlineStr">
        <is>
          <t>Domain</t>
        </is>
      </c>
      <c r="D1" s="1" t="inlineStr">
        <is>
          <t>Category</t>
        </is>
      </c>
      <c r="E1" s="1" t="inlineStr">
        <is>
          <t>Title</t>
        </is>
      </c>
      <c r="F1" s="1" t="inlineStr">
        <is>
          <t>Description</t>
        </is>
      </c>
      <c r="G1" s="1" t="inlineStr">
        <is>
          <t>References</t>
        </is>
      </c>
      <c r="H1" s="1" t="inlineStr">
        <is>
          <t>Options</t>
        </is>
      </c>
      <c r="I1" s="1" t="inlineStr">
        <is>
          <t>Ask / owner of answer</t>
        </is>
      </c>
      <c r="J1" s="1" t="inlineStr">
        <is>
          <t>Responsible</t>
        </is>
      </c>
      <c r="K1" s="1" t="inlineStr">
        <is>
          <t>Priority</t>
        </is>
      </c>
      <c r="L1" s="1" t="inlineStr">
        <is>
          <t>Status</t>
        </is>
      </c>
      <c r="M1" s="1" t="inlineStr">
        <is>
          <t>Raised</t>
        </is>
      </c>
      <c r="N1" s="1" t="inlineStr">
        <is>
          <t>Decision / answer</t>
        </is>
      </c>
      <c r="O1" s="1" t="inlineStr">
        <is>
          <t>Decided</t>
        </is>
      </c>
    </row>
    <row r="2">
      <c r="A2" s="2" t="inlineStr">
        <is>
          <t>GEN-01</t>
        </is>
      </c>
      <c r="B2" s="2" t="inlineStr">
        <is>
          <t>General</t>
        </is>
      </c>
      <c r="C2" s="2" t="inlineStr">
        <is>
          <t>Both</t>
        </is>
      </c>
      <c r="D2" s="2" t="inlineStr">
        <is>
          <t>Decision</t>
        </is>
      </c>
      <c r="E2" s="2" t="inlineStr">
        <is>
          <t>Supplier documentation baseline</t>
        </is>
      </c>
      <c r="F2" s="2" t="inlineStr">
        <is>
          <t>Framo, Servi/Østerbø and Normex interfaces each need one agreed signal list and functional description before FAT.</t>
        </is>
      </c>
      <c r="G2" s="2" t="inlineStr">
        <is>
          <t>Review 2026-10-21</t>
        </is>
      </c>
      <c r="H2" s="2" t="inlineStr"/>
      <c r="I2" s="2" t="inlineStr">
        <is>
          <t>Internal</t>
        </is>
      </c>
      <c r="J2" s="2" t="inlineStr">
        <is>
          <t>Project</t>
        </is>
      </c>
      <c r="K2" s="2" t="inlineStr">
        <is>
          <t>High</t>
        </is>
      </c>
      <c r="L2" s="2" t="inlineStr">
        <is>
          <t>Open</t>
        </is>
      </c>
      <c r="M2" s="2" t="inlineStr">
        <is>
          <t>2026-10-21</t>
        </is>
      </c>
      <c r="N2" s="2" t="inlineStr"/>
      <c r="O2" s="2" t="inlineStr"/>
    </row>
    <row r="3">
      <c r="A3" s="2" t="inlineStr">
        <is>
          <t>GEN-02</t>
        </is>
      </c>
      <c r="B3" s="2" t="inlineStr">
        <is>
          <t>General</t>
        </is>
      </c>
      <c r="C3" s="2" t="inlineStr">
        <is>
          <t>Software</t>
        </is>
      </c>
      <c r="D3" s="2" t="inlineStr">
        <is>
          <t>Missing info</t>
        </is>
      </c>
      <c r="E3" s="2" t="inlineStr">
        <is>
          <t>Alarm priorities and acknowledge classes</t>
        </is>
      </c>
      <c r="F3" s="2" t="inlineStr">
        <is>
          <t>Alarm list FD-02 has no priority or acknowledgement classes; the PLC mixes auto-ack and operator ack.</t>
        </is>
      </c>
      <c r="G3" s="2" t="inlineStr">
        <is>
          <t>CAS FD Inlet OI21; FD-02</t>
        </is>
      </c>
      <c r="H3" s="2" t="inlineStr"/>
      <c r="I3" s="2" t="inlineStr">
        <is>
          <t>Internal</t>
        </is>
      </c>
      <c r="J3" s="2" t="inlineStr">
        <is>
          <t>Project</t>
        </is>
      </c>
      <c r="K3" s="2" t="inlineStr">
        <is>
          <t>Low</t>
        </is>
      </c>
      <c r="L3" s="2" t="inlineStr">
        <is>
          <t>Open</t>
        </is>
      </c>
      <c r="M3" s="2" t="inlineStr">
        <is>
          <t>2026-10-21</t>
        </is>
      </c>
      <c r="N3" s="2" t="inlineStr"/>
      <c r="O3" s="2" t="inlineStr"/>
    </row>
    <row r="4">
      <c r="A4" s="2" t="inlineStr">
        <is>
          <t>GEN-03</t>
        </is>
      </c>
      <c r="B4" s="2" t="inlineStr">
        <is>
          <t>General</t>
        </is>
      </c>
      <c r="C4" s="2" t="inlineStr">
        <is>
          <t>Software</t>
        </is>
      </c>
      <c r="D4" s="2" t="inlineStr">
        <is>
          <t>Missing info</t>
        </is>
      </c>
      <c r="E4" s="2" t="inlineStr">
        <is>
          <t>Production HMI specification</t>
        </is>
      </c>
      <c r="F4" s="2" t="inlineStr">
        <is>
          <t>Production HMI (screens, users, access) not specified; outlet screens not built.</t>
        </is>
      </c>
      <c r="G4" s="2" t="inlineStr">
        <is>
          <t>CAS FD Oxygen OI25; CAS FD Outlet OI19</t>
        </is>
      </c>
      <c r="H4" s="2" t="inlineStr"/>
      <c r="I4" s="2" t="inlineStr">
        <is>
          <t>Internal</t>
        </is>
      </c>
      <c r="J4" s="2" t="inlineStr">
        <is>
          <t>Project</t>
        </is>
      </c>
      <c r="K4" s="2" t="inlineStr">
        <is>
          <t>Medium</t>
        </is>
      </c>
      <c r="L4" s="2" t="inlineStr">
        <is>
          <t>Open</t>
        </is>
      </c>
      <c r="M4" s="2" t="inlineStr">
        <is>
          <t>2026-10-21</t>
        </is>
      </c>
      <c r="N4" s="2" t="inlineStr"/>
      <c r="O4" s="2" t="inlineStr"/>
    </row>
    <row r="5">
      <c r="A5" s="2" t="inlineStr">
        <is>
          <t>IN-01</t>
        </is>
      </c>
      <c r="B5" s="2" t="inlineStr">
        <is>
          <t>Inlet</t>
        </is>
      </c>
      <c r="C5" s="2" t="inlineStr">
        <is>
          <t>Both</t>
        </is>
      </c>
      <c r="D5" s="2" t="inlineStr">
        <is>
          <t>Inconsistency</t>
        </is>
      </c>
      <c r="E5" s="2" t="inlineStr">
        <is>
          <t>Framo interface baseline</t>
        </is>
      </c>
      <c r="F5" s="2" t="inlineStr">
        <is>
          <t>Three versions: Framo interface list 01.09.2025, Framo spec rev B (0000_CAS_SPEC_CTRLSYS 08.10.2025) and FD rev B. Node names differ (SpeedSetpoint vs VelocitySetpoint, AquastreamStopped vs PumpStopped); PLC writes Framo_n.SpeedSetpoint.</t>
        </is>
      </c>
      <c r="G5" s="2" t="inlineStr">
        <is>
          <t>Framo_InterfaceList_01.09.2025.docx; 0000_CAS_SPEC_CTRLSYS m kommentarer.pdf; FD §3.2.1; PRG.FramoDataProcessing</t>
        </is>
      </c>
      <c r="H5" s="2" t="inlineStr">
        <is>
          <t>Agree rev B as baseline and freeze OPC UA node names</t>
        </is>
      </c>
      <c r="I5" s="2" t="inlineStr">
        <is>
          <t>Framo</t>
        </is>
      </c>
      <c r="J5" s="2" t="inlineStr">
        <is>
          <t>Sigurd</t>
        </is>
      </c>
      <c r="K5" s="2" t="inlineStr">
        <is>
          <t>High</t>
        </is>
      </c>
      <c r="L5" s="2" t="inlineStr">
        <is>
          <t>Open</t>
        </is>
      </c>
      <c r="M5" s="2" t="inlineStr">
        <is>
          <t>2026-10-21</t>
        </is>
      </c>
      <c r="N5" s="2" t="inlineStr">
        <is>
          <t>Framo SCD 7664-017-1 (received 2026-10-23): logic only, no OPC UA node names or data types (addresses "TBA"). CAS signals: HMI START (M01-U04), HMI STOP (M01-U05), HMI RESET (M01-U11), REMOTE CONTROL (UY-012), SPEED SETPOINT (M01-U56), INHIBIT START (M01-Q03) from CAS; STARTING SEQU ACTIVE (UI-010), FAILED TO START (UA-011) to CAS. No pump state (UNAVAILABLE/AVAILABLE/START/REMOTE/HOLD/LOCKDOWN) as the PLC expects. See IN-34.</t>
        </is>
      </c>
      <c r="O5" s="2" t="inlineStr"/>
    </row>
    <row r="6">
      <c r="A6" s="2" t="inlineStr">
        <is>
          <t>IN-02</t>
        </is>
      </c>
      <c r="B6" s="2" t="inlineStr">
        <is>
          <t>Inlet</t>
        </is>
      </c>
      <c r="C6" s="2" t="inlineStr">
        <is>
          <t>Both</t>
        </is>
      </c>
      <c r="D6" s="2" t="inlineStr">
        <is>
          <t>Inconsistency</t>
        </is>
      </c>
      <c r="E6" s="2" t="inlineStr">
        <is>
          <t>Heartbeat definition</t>
        </is>
      </c>
      <c r="F6" s="2" t="inlineStr">
        <is>
          <t>FD §3.2.1 text: INT counter 0..32767. FD Tabell 6 / Framo rev B: BOOL toggle + Interval/Elapsed. PLC (D1): one shared bit, PLC sets, Framo clears, timeout 10 s; HeartbeatInterval never written. Aksjonsliste #3 open.</t>
        </is>
      </c>
      <c r="G6" s="2" t="inlineStr">
        <is>
          <t>FD §3.2.1, Tabell 6; Framo spec rev B; FB.Inlet.InletControl</t>
        </is>
      </c>
      <c r="H6" s="2" t="inlineStr">
        <is>
          <t>Confirm shared-bit scheme, interval, timeout and Framo HOLD delay</t>
        </is>
      </c>
      <c r="I6" s="2" t="inlineStr">
        <is>
          <t>Framo</t>
        </is>
      </c>
      <c r="J6" s="2" t="inlineStr">
        <is>
          <t>Sigurd</t>
        </is>
      </c>
      <c r="K6" s="2" t="inlineStr">
        <is>
          <t>High</t>
        </is>
      </c>
      <c r="L6" s="2" t="inlineStr">
        <is>
          <t>Open</t>
        </is>
      </c>
      <c r="M6" s="2" t="inlineStr">
        <is>
          <t>2026-10-21</t>
        </is>
      </c>
      <c r="N6" s="2" t="inlineStr">
        <is>
          <t>Framo SCD 7664-017-1 (received 2026-10-23): heartbeat is a Framo standard FB #HRTB (UI-100); its fault output is ORed with HMI STOP: heartbeat loss resets the start latch and STOPS the pump. No HOLD at preset speed. Interval/timeout not given.</t>
        </is>
      </c>
      <c r="O6" s="2" t="inlineStr"/>
    </row>
    <row r="7">
      <c r="A7" s="2" t="inlineStr">
        <is>
          <t>IN-03</t>
        </is>
      </c>
      <c r="B7" s="2" t="inlineStr">
        <is>
          <t>Inlet</t>
        </is>
      </c>
      <c r="C7" s="2" t="inlineStr">
        <is>
          <t>Both</t>
        </is>
      </c>
      <c r="D7" s="2" t="inlineStr">
        <is>
          <t>Inconsistency</t>
        </is>
      </c>
      <c r="E7" s="2" t="inlineStr">
        <is>
          <t>HOLD / LOCKDOWN recovery</t>
        </is>
      </c>
      <c r="F7" s="2" t="inlineStr">
        <is>
          <t>Framo rev B: HOLD returns to REMOTE automatically when heartbeat is back; LOCKDOWN exits on 'Sequence END'. FD Tabell 5 requires operator Reset. The PLC works either way: it follows the state the PCC reports (LIC01 frozen in HOLD, bumpless resume in REMOTE) and sends Reset only on the operator's command (since 2026-10-21 held until the state change is seen; warning FailedToReset after 2 x ResetExpectedTime). Open with Framo: which behaviour the PCC implements, edge or level on Reset, and whether the PCC panel has its own local Reset.</t>
        </is>
      </c>
      <c r="G7" s="2" t="inlineStr">
        <is>
          <t>FD Tabell 5; Framo spec rev B state diagram; FB.Inlet.InletControl; CAS FD Inlet rev A1 OI2/OI3</t>
        </is>
      </c>
      <c r="H7" s="2" t="inlineStr">
        <is>
          <t>Reset required (FD) vs automatic (Framo)</t>
        </is>
      </c>
      <c r="I7" s="2" t="inlineStr">
        <is>
          <t>Framo</t>
        </is>
      </c>
      <c r="J7" s="2" t="inlineStr">
        <is>
          <t>Sigurd</t>
        </is>
      </c>
      <c r="K7" s="2" t="inlineStr">
        <is>
          <t>High</t>
        </is>
      </c>
      <c r="L7" s="2" t="inlineStr">
        <is>
          <t>Open</t>
        </is>
      </c>
      <c r="M7" s="2" t="inlineStr">
        <is>
          <t>2026-10-21</t>
        </is>
      </c>
      <c r="N7" s="2" t="inlineStr">
        <is>
          <t>Framo SCD 7664-017-1 (received 2026-10-23): no HOLD or LOCKDOWN state in the SCD. Heartbeat loss = stop; drive trip / FSL trip -&gt; pump block YF, cleared by HMI RESET (also resets the drive). Ask Framo whether HOLD (rev B spec) still exists.</t>
        </is>
      </c>
      <c r="O7" s="2" t="inlineStr"/>
    </row>
    <row r="8">
      <c r="A8" s="2" t="inlineStr">
        <is>
          <t>IN-04</t>
        </is>
      </c>
      <c r="B8" s="2" t="inlineStr">
        <is>
          <t>Inlet</t>
        </is>
      </c>
      <c r="C8" s="2" t="inlineStr">
        <is>
          <t>Software</t>
        </is>
      </c>
      <c r="D8" s="2" t="inlineStr">
        <is>
          <t>Code bug</t>
        </is>
      </c>
      <c r="E8" s="2" t="inlineStr">
        <is>
          <t>Stop accepted only in REMOTE</t>
        </is>
      </c>
      <c r="F8" s="2" t="inlineStr">
        <is>
          <t>Framo rev B accepts Stop only in REMOTE; PLC stop timer also arms in STARTING/HOLD and raises 'Stopp feilet'. Heartbeat loss in START/AVAILABLE undefined by Framo.</t>
        </is>
      </c>
      <c r="G8" s="2" t="inlineStr">
        <is>
          <t>Framo spec rev B; FB.Inlet.InletControl ShutdownTransitionTimer</t>
        </is>
      </c>
      <c r="H8" s="2" t="inlineStr"/>
      <c r="I8" s="2" t="inlineStr">
        <is>
          <t>Framo</t>
        </is>
      </c>
      <c r="J8" s="2" t="inlineStr">
        <is>
          <t>Sigurd</t>
        </is>
      </c>
      <c r="K8" s="2" t="inlineStr">
        <is>
          <t>Medium</t>
        </is>
      </c>
      <c r="L8" s="2" t="inlineStr">
        <is>
          <t>Open</t>
        </is>
      </c>
      <c r="M8" s="2" t="inlineStr">
        <is>
          <t>2026-10-21</t>
        </is>
      </c>
      <c r="N8" s="2" t="inlineStr"/>
      <c r="O8" s="2" t="inlineStr"/>
    </row>
    <row r="9">
      <c r="A9" s="2" t="inlineStr">
        <is>
          <t>IN-05</t>
        </is>
      </c>
      <c r="B9" s="2" t="inlineStr">
        <is>
          <t>Inlet</t>
        </is>
      </c>
      <c r="C9" s="2" t="inlineStr">
        <is>
          <t>Software</t>
        </is>
      </c>
      <c r="D9" s="2" t="inlineStr">
        <is>
          <t>Decision</t>
        </is>
      </c>
      <c r="E9" s="2" t="inlineStr">
        <is>
          <t>LIC01 response to pump trip / rejoin</t>
        </is>
      </c>
      <c r="F9" s="2" t="inlineStr">
        <is>
          <t>Sim test 2026-10-21: losing 1 of 3 pumps dips level 3.4 cm; rejoin overshoots 2.7 cm (no feed-forward on running pumps, integral windup at 130 rpm).</t>
        </is>
      </c>
      <c r="G9" s="2" t="inlineStr">
        <is>
          <t>Sim test 2026-10-21 (CasRioSim 2.4.5)</t>
        </is>
      </c>
      <c r="H9" s="2" t="inlineStr">
        <is>
          <t>Feed-forward N/(N-1); anti-windup; gain scheduling per FD Tabell 8</t>
        </is>
      </c>
      <c r="I9" s="2" t="inlineStr">
        <is>
          <t>Internal</t>
        </is>
      </c>
      <c r="J9" s="2" t="inlineStr">
        <is>
          <t>Sigurd</t>
        </is>
      </c>
      <c r="K9" s="2" t="inlineStr">
        <is>
          <t>High</t>
        </is>
      </c>
      <c r="L9" s="2" t="inlineStr">
        <is>
          <t>In progress</t>
        </is>
      </c>
      <c r="M9" s="2" t="inlineStr">
        <is>
          <t>2026-10-21</t>
        </is>
      </c>
      <c r="N9" s="2" t="inlineStr">
        <is>
          <t>Baseline sim 2026-10-22: pump 3 out -&gt; level 6.0 -&gt; 3.0 cm, 4 min back; pump 3 restart -&gt; 9.1 cm, mostly during its START (own preset speed while the others still ran fast). Implemented in CODESYS 2026-10-22 (not yet downloaded/tested): LIC01 output = TOTAL speed of the pumps in level control; pumps in REMOTE share (total - actual speed of the pumps starting/stopping) / N, limited 40-130 rpm, in PenInletSupervisor.AutoSpeedSetpoint. A trip or a start is compensated in the same cycle; Kp 450 -&gt; 1350 (total). Retained Kp must be set to 1350 after download. HMI: heimdall-cas-hmi PR #6. Sim test pending (PLC busy). | Live test 2026-10-22 (PFC200 10.1.2.41, main 1a427c0, CAS plant 10.1.2.150, after Reset Origin): Pen Start from drained (-3.4 cm): pumps tracked to 260 rpm total, REMOTE at 85.5 rpm share (bumpless), level 6.6 cm peak (0.6 cm overshoot), settled 6.1 cm in ~2.5 min with 3 x 74 rpm. Pump stopped by the pump count: the other two took its share in the same cycle, level dip 6.0 -&gt; 5.2 cm, back to 6.3 cm. Pump trip test still to do.</t>
        </is>
      </c>
      <c r="O9" s="2" t="n"/>
    </row>
    <row r="10">
      <c r="A10" s="2" t="inlineStr">
        <is>
          <t>IN-06</t>
        </is>
      </c>
      <c r="B10" s="2" t="inlineStr">
        <is>
          <t>Inlet</t>
        </is>
      </c>
      <c r="C10" s="2" t="inlineStr">
        <is>
          <t>Both</t>
        </is>
      </c>
      <c r="D10" s="2" t="inlineStr">
        <is>
          <t>Decision</t>
        </is>
      </c>
      <c r="E10" s="2" t="inlineStr">
        <is>
          <t>Minimum controllable overheight</t>
        </is>
      </c>
      <c r="F10" s="2" t="inlineStr">
        <is>
          <t>O-60 and S-75 use 0.5 cm overheight. Level transmitter resolution ~1 mm, plus surface waves.</t>
        </is>
      </c>
      <c r="G10" s="2" t="inlineStr">
        <is>
          <t>FD Tabell 10; design basis Table 16</t>
        </is>
      </c>
      <c r="H10" s="2" t="inlineStr">
        <is>
          <t>Set minimum setpoint and low-level alarm limits</t>
        </is>
      </c>
      <c r="I10" s="2" t="inlineStr">
        <is>
          <t>Internal</t>
        </is>
      </c>
      <c r="J10" s="2" t="inlineStr">
        <is>
          <t>Project</t>
        </is>
      </c>
      <c r="K10" s="2" t="inlineStr">
        <is>
          <t>High</t>
        </is>
      </c>
      <c r="L10" s="2" t="inlineStr">
        <is>
          <t>Open</t>
        </is>
      </c>
      <c r="M10" s="2" t="inlineStr">
        <is>
          <t>2026-10-21</t>
        </is>
      </c>
      <c r="N10" s="2" t="inlineStr"/>
      <c r="O10" s="2" t="inlineStr"/>
    </row>
    <row r="11">
      <c r="A11" s="2" t="inlineStr">
        <is>
          <t>IN-07</t>
        </is>
      </c>
      <c r="B11" s="2" t="inlineStr">
        <is>
          <t>Inlet</t>
        </is>
      </c>
      <c r="C11" s="2" t="inlineStr">
        <is>
          <t>Software</t>
        </is>
      </c>
      <c r="D11" s="2" t="inlineStr">
        <is>
          <t>Inconsistency</t>
        </is>
      </c>
      <c r="E11" s="2" t="inlineStr">
        <is>
          <t>LIC01 parameter sets</t>
        </is>
      </c>
      <c r="F11" s="2" t="inlineStr">
        <is>
          <t>FD wants 3 parameter sets by number of pumps (P 0.5/1/2, Ti 600 s). PLC has one (Kp 450, Ti 60 s tested in sim).</t>
        </is>
      </c>
      <c r="G11" s="2" t="inlineStr">
        <is>
          <t>FD Tabell 8; ConfigValues PenConfig; D6</t>
        </is>
      </c>
      <c r="H11" s="2" t="inlineStr">
        <is>
          <t>Update FD to tested values or implement scheduling</t>
        </is>
      </c>
      <c r="I11" s="2" t="inlineStr">
        <is>
          <t>Internal</t>
        </is>
      </c>
      <c r="J11" s="2" t="inlineStr">
        <is>
          <t>Sigurd</t>
        </is>
      </c>
      <c r="K11" s="2" t="inlineStr">
        <is>
          <t>Medium</t>
        </is>
      </c>
      <c r="L11" s="2" t="inlineStr">
        <is>
          <t>In progress</t>
        </is>
      </c>
      <c r="M11" s="2" t="inlineStr">
        <is>
          <t>2026-10-21</t>
        </is>
      </c>
      <c r="N11" s="2" t="inlineStr">
        <is>
          <t>With the shared total output (IN-05) the loop gain no longer depends on the number of pumps: one parameter set (Kp 1350 total rpm/m, Ti 60 s) replaces FD Tabell 8's three. Update FD to rev C after the sim test. | Live test 2026-10-22 (PFC200 10.1.2.41, main 1a427c0, CAS plant 10.1.2.150, after Reset Origin): one parameter set Kp 1350 / Ti 60 s works for 3 and 2 pumps (start-up and pump stop above).</t>
        </is>
      </c>
      <c r="O11" s="2" t="n"/>
    </row>
    <row r="12">
      <c r="A12" s="2" t="inlineStr">
        <is>
          <t>IN-08</t>
        </is>
      </c>
      <c r="B12" s="2" t="inlineStr">
        <is>
          <t>Inlet</t>
        </is>
      </c>
      <c r="C12" s="2" t="inlineStr">
        <is>
          <t>Physical</t>
        </is>
      </c>
      <c r="D12" s="2" t="inlineStr">
        <is>
          <t>Inconsistency</t>
        </is>
      </c>
      <c r="E12" s="2" t="inlineStr">
        <is>
          <t>Flow per operating mode</t>
        </is>
      </c>
      <c r="F12" s="2" t="inlineStr">
        <is>
          <t>FD Tabell 10 O-35 = 34 000 m3/h; design basis: max requirement 27 000 m3/h, 20 000 m3/h per pump. Framo action WS-Aug #20 '26 000 ok for emergency mode?' open.</t>
        </is>
      </c>
      <c r="G12" s="2" t="inlineStr">
        <is>
          <t>FD Tabell 10; design basis §4.4; Framo aksjonsliste</t>
        </is>
      </c>
      <c r="H12" s="2" t="inlineStr"/>
      <c r="I12" s="2" t="inlineStr">
        <is>
          <t>Internal / Framo</t>
        </is>
      </c>
      <c r="J12" s="2" t="inlineStr">
        <is>
          <t>Project</t>
        </is>
      </c>
      <c r="K12" s="2" t="inlineStr">
        <is>
          <t>Medium</t>
        </is>
      </c>
      <c r="L12" s="2" t="inlineStr">
        <is>
          <t>Open</t>
        </is>
      </c>
      <c r="M12" s="2" t="inlineStr">
        <is>
          <t>2026-10-21</t>
        </is>
      </c>
      <c r="N12" s="2" t="inlineStr"/>
      <c r="O12" s="2" t="inlineStr"/>
    </row>
    <row r="13">
      <c r="A13" s="2" t="inlineStr">
        <is>
          <t>IN-09</t>
        </is>
      </c>
      <c r="B13" s="2" t="inlineStr">
        <is>
          <t>Inlet</t>
        </is>
      </c>
      <c r="C13" s="2" t="inlineStr">
        <is>
          <t>Software</t>
        </is>
      </c>
      <c r="D13" s="2" t="inlineStr">
        <is>
          <t>PLC gap</t>
        </is>
      </c>
      <c r="E13" s="2" t="inlineStr">
        <is>
          <t>Pen level alarms missing</t>
        </is>
      </c>
      <c r="F13" s="2" t="inlineStr">
        <is>
          <t>FD Tabell 7 and alarm list rows 29-32: control deviation, low level, high level, fault per level sensor. PenAlarmDUT has only LevelMeasurementLost.</t>
        </is>
      </c>
      <c r="G13" s="2" t="inlineStr">
        <is>
          <t>FD Tabell 7; FD-02 alarm list</t>
        </is>
      </c>
      <c r="H13" s="2" t="inlineStr"/>
      <c r="I13" s="2" t="inlineStr">
        <is>
          <t>Internal</t>
        </is>
      </c>
      <c r="J13" s="2" t="inlineStr">
        <is>
          <t>Sigurd</t>
        </is>
      </c>
      <c r="K13" s="2" t="inlineStr">
        <is>
          <t>Medium</t>
        </is>
      </c>
      <c r="L13" s="2" t="inlineStr">
        <is>
          <t>In progress</t>
        </is>
      </c>
      <c r="M13" s="2" t="inlineStr">
        <is>
          <t>2026-10-21</t>
        </is>
      </c>
      <c r="N13" s="2" t="inlineStr">
        <is>
          <t>Control deviation implemented in CODESYS 2026-10-22 (not yet downloaded/tested): Pen.Alarm.LevelDeviationHigh / LevelDeviationLow when LIC01 is in auto and the over-height is more than PenConfig.LevelDeviationLimit (0.02 m) above / below the setpoint for LevelDeviationDelay (5 min); not during start-up, manual, SafeOutput or HOLD freeze. Fault per level sensor already covered by the transmitters' Quality alarms. Still open: absolute low / high level alarms (alarm list rows 31-32). HMI: heimdall-cas-hmi PR #8. | Live test 2026-10-22 (PFC200 10.1.2.41, main 1a427c0, CAS plant 10.1.2.150, after Reset Origin): not tested yet.</t>
        </is>
      </c>
      <c r="O13" s="2" t="inlineStr"/>
    </row>
    <row r="14">
      <c r="A14" s="2" t="inlineStr">
        <is>
          <t>IN-10</t>
        </is>
      </c>
      <c r="B14" s="2" t="inlineStr">
        <is>
          <t>Inlet</t>
        </is>
      </c>
      <c r="C14" s="2" t="inlineStr">
        <is>
          <t>Software</t>
        </is>
      </c>
      <c r="D14" s="2" t="inlineStr">
        <is>
          <t>PLC gap</t>
        </is>
      </c>
      <c r="E14" s="2" t="inlineStr">
        <is>
          <t>Pump speed deviation alarm</t>
        </is>
      </c>
      <c r="F14" s="2" t="inlineStr">
        <is>
          <t>Not implemented (D7). Alarm list has 'Hastighetsavvik innløpspumpe 1' twice (rows 24/25).</t>
        </is>
      </c>
      <c r="G14" s="2" t="inlineStr">
        <is>
          <t>FD-02 alarm list; program design D7</t>
        </is>
      </c>
      <c r="H14" s="2" t="inlineStr"/>
      <c r="I14" s="2" t="inlineStr">
        <is>
          <t>Internal</t>
        </is>
      </c>
      <c r="J14" s="2" t="inlineStr">
        <is>
          <t>Sigurd</t>
        </is>
      </c>
      <c r="K14" s="2" t="inlineStr">
        <is>
          <t>Medium</t>
        </is>
      </c>
      <c r="L14" s="2" t="inlineStr">
        <is>
          <t>In progress</t>
        </is>
      </c>
      <c r="M14" s="2" t="inlineStr">
        <is>
          <t>2026-10-21</t>
        </is>
      </c>
      <c r="N14" s="2" t="inlineStr">
        <is>
          <t>Implemented in CODESYS 2026-10-22 (not yet downloaded/tested): Inlet[i].InletPump.Alarm.SpeedDeviation (operator ack) when the pump is in REMOTE and |VelocitySetpoint - MotorVelocity| &gt; InletConfig[i].SpeedDeviationLimit (10 rpm) for SpeedDeviationDelay (30 s); limit 0 = off. Retained in InletConfigDUT (Reset Origin with IN-15). Duplicate alarm-list row removed in FD-01 rev C. | Live test 2026-10-22 (PFC200 10.1.2.41, main 1a427c0, CAS plant 10.1.2.150, after Reset Origin): not tested yet.</t>
        </is>
      </c>
      <c r="O14" s="2" t="inlineStr"/>
    </row>
    <row r="15">
      <c r="A15" s="2" t="inlineStr">
        <is>
          <t>IN-11</t>
        </is>
      </c>
      <c r="B15" s="2" t="inlineStr">
        <is>
          <t>Inlet</t>
        </is>
      </c>
      <c r="C15" s="2" t="inlineStr">
        <is>
          <t>Software</t>
        </is>
      </c>
      <c r="D15" s="2" t="inlineStr">
        <is>
          <t>Code bug</t>
        </is>
      </c>
      <c r="E15" s="2" t="inlineStr">
        <is>
          <t>LowPower/HighPower in common alarm</t>
        </is>
      </c>
      <c r="F15" s="2" t="inlineStr">
        <is>
          <t>PLC PumpCommonError includes LowPower/HighPower; FD and alarm list say notification only, not in common alarm.</t>
        </is>
      </c>
      <c r="G15" s="2" t="inlineStr">
        <is>
          <t>FB.Inlet.InletControl.AlarmHandling; FD-02</t>
        </is>
      </c>
      <c r="H15" s="2" t="inlineStr">
        <is>
          <t>Remove from PumpCommonError</t>
        </is>
      </c>
      <c r="I15" s="2" t="inlineStr">
        <is>
          <t>Internal</t>
        </is>
      </c>
      <c r="J15" s="2" t="inlineStr">
        <is>
          <t>Sigurd</t>
        </is>
      </c>
      <c r="K15" s="2" t="inlineStr">
        <is>
          <t>Low</t>
        </is>
      </c>
      <c r="L15" s="2" t="inlineStr">
        <is>
          <t>In progress</t>
        </is>
      </c>
      <c r="M15" s="2" t="inlineStr">
        <is>
          <t>2026-10-21</t>
        </is>
      </c>
      <c r="N15" s="2" t="inlineStr">
        <is>
          <t>Implemented in CODESYS 2026-10-22 (not yet downloaded): LowPower / HighPower removed from PumpCommonError; their own alarms are notifications (AutoAcknowledge), as FD Tabell 7. | Live test 2026-10-22 (PFC200 10.1.2.41, main 1a427c0, CAS plant 10.1.2.150, after Reset Origin): not tested yet.</t>
        </is>
      </c>
      <c r="O15" s="2" t="inlineStr"/>
    </row>
    <row r="16">
      <c r="A16" s="2" t="inlineStr">
        <is>
          <t>IN-12</t>
        </is>
      </c>
      <c r="B16" s="2" t="inlineStr">
        <is>
          <t>Inlet</t>
        </is>
      </c>
      <c r="C16" s="2" t="inlineStr">
        <is>
          <t>Both</t>
        </is>
      </c>
      <c r="D16" s="2" t="inlineStr">
        <is>
          <t>Missing info</t>
        </is>
      </c>
      <c r="E16" s="2" t="inlineStr">
        <is>
          <t>Vacuum / air evacuation system</t>
        </is>
      </c>
      <c r="F16" s="2" t="inlineStr">
        <is>
          <t>Not in either Framo document. PLC reads PressureCompressedAir, LSL01/LSH02, StatusV001/V002; FD uses LSL31/LSH32/XV31/XV32; VacuumSystemAlarmDUT empty; Framo cabinet drawing lacks the evacuation unit (Aksjonsliste #19).</t>
        </is>
      </c>
      <c r="G16" s="2" t="inlineStr">
        <is>
          <t>FD Tabell 6; FD-02 'Overfylling i Luftevakuering'; Framo aksjonsliste #19</t>
        </is>
      </c>
      <c r="H16" s="2" t="inlineStr"/>
      <c r="I16" s="2" t="inlineStr">
        <is>
          <t>Framo</t>
        </is>
      </c>
      <c r="J16" s="2" t="inlineStr">
        <is>
          <t>Sigurd</t>
        </is>
      </c>
      <c r="K16" s="2" t="inlineStr">
        <is>
          <t>Medium</t>
        </is>
      </c>
      <c r="L16" s="2" t="inlineStr">
        <is>
          <t>Open</t>
        </is>
      </c>
      <c r="M16" s="2" t="inlineStr">
        <is>
          <t>2026-10-21</t>
        </is>
      </c>
      <c r="N16" s="2" t="inlineStr">
        <is>
          <t>Framo SCD 7664-017-1 (received 2026-10-23): air evacuation: start latch AND no stop AND release valve UY-004A closed opens comp. air valve UY-003A (ejector) until LSH-002A; pump start only when LSL-001A is wet; NOT LSL or sensor deviation (LSH AND NOT LSL, UA-001A) trips the pump (FSL). HMI STOP opens the release valve. | Framo P&amp;ID 7664-021-1 (08.09.26, received 2026-10-23): per inlet one vacuum chamber with ejector: compressed-air valve UY-003x (ZSO/ZSC-003x), release valve UY-004x (ZSO/ZSC-004x), LSH-002x, LSL-001x; all their signals go to the Framo UCP only (none to the client system). No compressed-air pressure transmitter, although the PLC reads Framo_n.PressureCompressedAir; the PLC has one status bit per valve (StatusV001/V002), the P&amp;ID two limit switches per valve. Compressed air supply comes from client scope (one line to all three units). Drafting error: the release valve of unit A is tagged UY-004B (B, C correct).</t>
        </is>
      </c>
      <c r="O16" s="2" t="inlineStr"/>
    </row>
    <row r="17">
      <c r="A17" s="2" t="inlineStr">
        <is>
          <t>IN-13</t>
        </is>
      </c>
      <c r="B17" s="2" t="inlineStr">
        <is>
          <t>Inlet</t>
        </is>
      </c>
      <c r="C17" s="2" t="inlineStr">
        <is>
          <t>Both</t>
        </is>
      </c>
      <c r="D17" s="2" t="inlineStr">
        <is>
          <t>Missing info</t>
        </is>
      </c>
      <c r="E17" s="2" t="inlineStr">
        <is>
          <t>Framo autonomous behaviour</t>
        </is>
      </c>
      <c r="F17" s="2" t="inlineStr">
        <is>
          <t>Need: HOLD preset speed, start-up ramp speed (LIC01 tracks it), whether Available excludes DriveNotInRemote/PumpStopped, engineering units of VelocitySetpoint/MotorVelocity (FD assumes 40-130 rpm).</t>
        </is>
      </c>
      <c r="G17" s="2" t="inlineStr">
        <is>
          <t>FD §3.2.1-3.2.2</t>
        </is>
      </c>
      <c r="H17" s="2" t="inlineStr"/>
      <c r="I17" s="2" t="inlineStr">
        <is>
          <t>Framo</t>
        </is>
      </c>
      <c r="J17" s="2" t="inlineStr">
        <is>
          <t>Sigurd</t>
        </is>
      </c>
      <c r="K17" s="2" t="inlineStr">
        <is>
          <t>High</t>
        </is>
      </c>
      <c r="L17" s="2" t="inlineStr">
        <is>
          <t>Open</t>
        </is>
      </c>
      <c r="M17" s="2" t="inlineStr">
        <is>
          <t>2026-10-21</t>
        </is>
      </c>
      <c r="N17" s="2" t="inlineStr">
        <is>
          <t>Framo SCD 7664-017-1 (received 2026-10-23): start: drive runs at a fixed 40 rpm start setpoint ("adjust while commissioning"); READY TO REMOTE CNTRL (UI-013) 30 s after DRIVE RUNNING; speed from CAS only when CAS gives REMOTE CONTROL (UY-012) and ready to remote. FAILED TO START (UA-011) when the start sequence stays active for "time" (not given).</t>
        </is>
      </c>
      <c r="O17" s="2" t="inlineStr"/>
    </row>
    <row r="18">
      <c r="A18" s="2" t="inlineStr">
        <is>
          <t>IN-14</t>
        </is>
      </c>
      <c r="B18" s="2" t="inlineStr">
        <is>
          <t>Inlet</t>
        </is>
      </c>
      <c r="C18" s="2" t="inlineStr">
        <is>
          <t>Both</t>
        </is>
      </c>
      <c r="D18" s="2" t="inlineStr">
        <is>
          <t>Decision</t>
        </is>
      </c>
      <c r="E18" s="2" t="inlineStr">
        <is>
          <t>Emergency stop chain</t>
        </is>
      </c>
      <c r="F18" s="2" t="inlineStr">
        <is>
          <t>Framo E-stops are in series and stop all lines (Aksjonsliste #16). Confirm intended; oxygen stop on E-stop must go through Heimdall PLC.</t>
        </is>
      </c>
      <c r="G18" s="2" t="inlineStr">
        <is>
          <t>Aksjonsliste #16</t>
        </is>
      </c>
      <c r="H18" s="2" t="inlineStr"/>
      <c r="I18" s="2" t="inlineStr">
        <is>
          <t>Internal / Framo</t>
        </is>
      </c>
      <c r="J18" s="2" t="inlineStr">
        <is>
          <t>Project</t>
        </is>
      </c>
      <c r="K18" s="2" t="inlineStr">
        <is>
          <t>Medium</t>
        </is>
      </c>
      <c r="L18" s="2" t="inlineStr">
        <is>
          <t>Open</t>
        </is>
      </c>
      <c r="M18" s="2" t="inlineStr">
        <is>
          <t>2026-10-21</t>
        </is>
      </c>
      <c r="N18" s="2" t="inlineStr"/>
      <c r="O18" s="2" t="inlineStr"/>
    </row>
    <row r="19">
      <c r="A19" s="2" t="inlineStr">
        <is>
          <t>IN-15</t>
        </is>
      </c>
      <c r="B19" s="2" t="inlineStr">
        <is>
          <t>Inlet</t>
        </is>
      </c>
      <c r="C19" s="2" t="inlineStr">
        <is>
          <t>Both</t>
        </is>
      </c>
      <c r="D19" s="2" t="inlineStr">
        <is>
          <t>Decision</t>
        </is>
      </c>
      <c r="E19" s="2" t="inlineStr">
        <is>
          <t>Functions on HOLD in FD</t>
        </is>
      </c>
      <c r="F19" s="2" t="inlineStr">
        <is>
          <t>Automatic pump start/stop on LIC output, pump rotation (#18), manual level setpoint, auto outlet close on pump stop, E-stop alarm.</t>
        </is>
      </c>
      <c r="G19" s="2" t="inlineStr">
        <is>
          <t>FD rev B HOLD marks</t>
        </is>
      </c>
      <c r="H19" s="2" t="inlineStr"/>
      <c r="I19" s="2" t="inlineStr">
        <is>
          <t>Internal</t>
        </is>
      </c>
      <c r="J19" s="2" t="inlineStr">
        <is>
          <t>Project</t>
        </is>
      </c>
      <c r="K19" s="2" t="inlineStr">
        <is>
          <t>Medium</t>
        </is>
      </c>
      <c r="L19" s="2" t="inlineStr">
        <is>
          <t>In progress</t>
        </is>
      </c>
      <c r="M19" s="2" t="inlineStr">
        <is>
          <t>2026-10-21</t>
        </is>
      </c>
      <c r="N19" s="2" t="inlineStr">
        <is>
          <t>Automatic pump start/stop and rotation implemented in CODESYS 2026-10-22 (not yet downloaded/tested), InletSupervisor.PumpCount: candidates = InletConfig[i].InletPump.Enable AND auto AND not UNAVAILABLE/LOCKDOWN. Pen Start starts all candidates; with LIC01 in auto and no pump changing: stop the pump with most running days when the others would run &lt;= PumpTargetSpeed (85 rpm) for PumpRemoveDelay (15 min); start the standby with fewest running days when the share &gt;= PumpAddSpeed (115 rpm) for PumpAddDelay (2 min); rotation after PumpCycleTime (24 h) in REMOTE, make-before-break. Settings retained in PenConfig (Reset Origin on next download). Still open from the HOLD list: manual level setpoint, auto outlet close on pump stop, E-stop alarm. | Live test 2026-10-22 (PFC200 10.1.2.41, main 1a427c0, CAS plant 10.1.2.150, after Reset Origin): pump count: with PumpTargetSpeed 115 / delay 60 s (test values) the pump with most running days stopped, 2 pumps at ~112 rpm, no flapping (PumpAddSpeed 125). Rotation (PumpCycleTime 2 min, test value): standby started first, old pump stopped once the new one was in REMOTE, level 5.1-7.1 cm during the handover (IN-31). All defaults restored afterwards (85 / 115 rpm, 15 / 2 min, 24 h).</t>
        </is>
      </c>
      <c r="O19" s="2" t="inlineStr"/>
    </row>
    <row r="20">
      <c r="A20" s="2" t="inlineStr">
        <is>
          <t>IN-16</t>
        </is>
      </c>
      <c r="B20" s="2" t="inlineStr">
        <is>
          <t>Inlet</t>
        </is>
      </c>
      <c r="C20" s="2" t="inlineStr">
        <is>
          <t>Both</t>
        </is>
      </c>
      <c r="D20" s="2" t="inlineStr">
        <is>
          <t>Inconsistency</t>
        </is>
      </c>
      <c r="E20" s="2" t="inlineStr">
        <is>
          <t>Tag numbering</t>
        </is>
      </c>
      <c r="F20" s="2" t="inlineStr">
        <is>
          <t>FD motor table nn-PM01..03 / PU01..03 vs inlet and oxygen sections PM31..33 / PU41..43. Align with P&amp;ID rev A.</t>
        </is>
      </c>
      <c r="G20" s="2" t="inlineStr">
        <is>
          <t>FD rev B; CAS PID and loop diagrams rev A</t>
        </is>
      </c>
      <c r="H20" s="2" t="inlineStr"/>
      <c r="I20" s="2" t="inlineStr">
        <is>
          <t>Internal</t>
        </is>
      </c>
      <c r="J20" s="2" t="inlineStr">
        <is>
          <t>Sigurd</t>
        </is>
      </c>
      <c r="K20" s="2" t="inlineStr">
        <is>
          <t>Low</t>
        </is>
      </c>
      <c r="L20" s="2" t="inlineStr">
        <is>
          <t>Open</t>
        </is>
      </c>
      <c r="M20" s="2" t="inlineStr">
        <is>
          <t>2026-10-21</t>
        </is>
      </c>
      <c r="N20" s="2" t="inlineStr">
        <is>
          <t>Framo P&amp;ID 7664-021-1 (08.09.26, received 2026-10-23): Framo tags: pumps P-01A/B/C, level switches LSL-001A..C / LSH-002A..C, valves UY-003A..C / UY-004A..C (SCD uses the A tags). FD uses PM31..33 / PU41..43, LSL31 / LSH32, XV31 / XV32; PLC uses LSL01 / LSH02, V001 / V002.</t>
        </is>
      </c>
      <c r="O20" s="2" t="inlineStr"/>
    </row>
    <row r="21">
      <c r="A21" s="2" t="inlineStr">
        <is>
          <t>IN-17</t>
        </is>
      </c>
      <c r="B21" s="2" t="inlineStr">
        <is>
          <t>Inlet</t>
        </is>
      </c>
      <c r="C21" s="2" t="inlineStr">
        <is>
          <t>Software</t>
        </is>
      </c>
      <c r="D21" s="2" t="inlineStr">
        <is>
          <t>Code bug</t>
        </is>
      </c>
      <c r="E21" s="2" t="inlineStr">
        <is>
          <t>Old OPC UA node name SpeedSetpoint</t>
        </is>
      </c>
      <c r="F21" s="2" t="inlineStr">
        <is>
          <t>PRG.FramoDataProcessing writes Framo_n.SpeedSetpoint; Framo rev B names it VelocitySetpoint.</t>
        </is>
      </c>
      <c r="G21" s="2" t="inlineStr">
        <is>
          <t>PRG.FramoDataProcessing</t>
        </is>
      </c>
      <c r="H21" s="2" t="inlineStr"/>
      <c r="I21" s="2" t="inlineStr">
        <is>
          <t>Internal</t>
        </is>
      </c>
      <c r="J21" s="2" t="inlineStr">
        <is>
          <t>Sigurd</t>
        </is>
      </c>
      <c r="K21" s="2" t="inlineStr">
        <is>
          <t>Medium</t>
        </is>
      </c>
      <c r="L21" s="2" t="inlineStr">
        <is>
          <t>Open</t>
        </is>
      </c>
      <c r="M21" s="2" t="inlineStr">
        <is>
          <t>2026-10-21</t>
        </is>
      </c>
      <c r="N21" s="2" t="inlineStr"/>
      <c r="O21" s="2" t="inlineStr"/>
    </row>
    <row r="22">
      <c r="A22" s="2" t="inlineStr">
        <is>
          <t>IN-18</t>
        </is>
      </c>
      <c r="B22" s="2" t="inlineStr">
        <is>
          <t>Inlet</t>
        </is>
      </c>
      <c r="C22" s="2" t="inlineStr">
        <is>
          <t>Software</t>
        </is>
      </c>
      <c r="D22" s="2" t="inlineStr">
        <is>
          <t>Code bug</t>
        </is>
      </c>
      <c r="E22" s="2" t="inlineStr">
        <is>
          <t>LIC01 integral windup at speed limit</t>
        </is>
      </c>
      <c r="F22" s="2" t="inlineStr">
        <is>
          <t>Integral keeps building while output is clamped at 130 rpm (seen in sim 2026-10-21 after a pump trip); causes overshoot when the pump returns.</t>
        </is>
      </c>
      <c r="G22" s="2" t="inlineStr">
        <is>
          <t>Sim test 2026-10-21; FB.Inlet.InletSupervisor LIC01</t>
        </is>
      </c>
      <c r="H22" s="2" t="inlineStr">
        <is>
          <t>Anti-windup / conditional integration</t>
        </is>
      </c>
      <c r="I22" s="2" t="inlineStr">
        <is>
          <t>Internal</t>
        </is>
      </c>
      <c r="J22" s="2" t="inlineStr">
        <is>
          <t>Sigurd</t>
        </is>
      </c>
      <c r="K22" s="2" t="inlineStr">
        <is>
          <t>Medium</t>
        </is>
      </c>
      <c r="L22" s="2" t="inlineStr">
        <is>
          <t>Closed</t>
        </is>
      </c>
      <c r="M22" s="2" t="inlineStr">
        <is>
          <t>2026-10-21</t>
        </is>
      </c>
      <c r="N22" s="2" t="inlineStr">
        <is>
          <t>Not a bug. Util.PID adapts the integral while the output is limited (anti-windup). Sim test 2026-10-22: one of three pumps out, LIC01 output rose 74 -&gt; 107 rpm and never reached 130 (LimitsActive FALSE). The dip/overshoot is the missing compensation of the pump count, see IN-05.</t>
        </is>
      </c>
      <c r="O22" s="2" t="inlineStr">
        <is>
          <t>2026-10-22</t>
        </is>
      </c>
    </row>
    <row r="23">
      <c r="A23" s="2" t="inlineStr">
        <is>
          <t>IN-19</t>
        </is>
      </c>
      <c r="B23" s="2" t="inlineStr">
        <is>
          <t>Inlet</t>
        </is>
      </c>
      <c r="C23" s="2" t="inlineStr">
        <is>
          <t>Software</t>
        </is>
      </c>
      <c r="D23" s="2" t="inlineStr">
        <is>
          <t>Code bug</t>
        </is>
      </c>
      <c r="E23" s="2" t="inlineStr">
        <is>
          <t>RIO link loss freezes level</t>
        </is>
      </c>
      <c r="F23" s="2" t="inlineStr">
        <is>
          <t>When an InletRIO link is lost the last level values are kept and the pair is not invalidated, so LIC01 controls on a frozen level.</t>
        </is>
      </c>
      <c r="G23" s="2" t="inlineStr">
        <is>
          <t>CAS FD Inlet OI17; FB.Inlet.InletSensors</t>
        </is>
      </c>
      <c r="H23" s="2" t="inlineStr">
        <is>
          <t>Invalidate pair on RIO comm loss</t>
        </is>
      </c>
      <c r="I23" s="2" t="inlineStr">
        <is>
          <t>Internal</t>
        </is>
      </c>
      <c r="J23" s="2" t="inlineStr">
        <is>
          <t>Sigurd</t>
        </is>
      </c>
      <c r="K23" s="2" t="inlineStr">
        <is>
          <t>High</t>
        </is>
      </c>
      <c r="L23" s="2" t="inlineStr">
        <is>
          <t>Fixed</t>
        </is>
      </c>
      <c r="M23" s="2" t="inlineStr">
        <is>
          <t>2026-10-21</t>
        </is>
      </c>
      <c r="N23" s="2" t="inlineStr">
        <is>
          <t>Fixed in CODESYS 2026-10-22: InletControl / InletSensors get RIOCommOK = GVLIO.InletRIO[i].Status.CommOK; without it both transmitters of that inlet count as BadQuality, so only that pair drops out of LIC01's PV (all three lost -&gt; LevelMeasurementLost, SafeOutput). Sim test 2026-10-22 (PFC200 vs CAS plant 10.1.2.150): pair 1 out for 60 s with 3 pumps in REMOTE, PV continued on pairs 2-3, LIC01 output 74.1-74.3 rpm, pair back without a jump. Realistic link-down test (5 s socket timeout) with the simulator fault of heimdall-cas-simulation PR #17.</t>
        </is>
      </c>
      <c r="O23" s="2" t="inlineStr">
        <is>
          <t>2026-10-22</t>
        </is>
      </c>
    </row>
    <row r="24">
      <c r="A24" s="2" t="inlineStr">
        <is>
          <t>IN-20</t>
        </is>
      </c>
      <c r="B24" s="2" t="inlineStr">
        <is>
          <t>Inlet</t>
        </is>
      </c>
      <c r="C24" s="2" t="inlineStr">
        <is>
          <t>Software</t>
        </is>
      </c>
      <c r="D24" s="2" t="inlineStr">
        <is>
          <t>PLC gap</t>
        </is>
      </c>
      <c r="E24" s="2" t="inlineStr">
        <is>
          <t>Interlocks I2 and I3 missing</t>
        </is>
      </c>
      <c r="F24" s="2" t="inlineStr">
        <is>
          <t>I2: 2oo3 LS7nmHH stops the pump; I3: group start only with the outlet open. Neither is in the PLC.</t>
        </is>
      </c>
      <c r="G24" s="2" t="inlineStr">
        <is>
          <t>CAS FD Inlet OI20; FD rev B</t>
        </is>
      </c>
      <c r="H24" s="2" t="inlineStr"/>
      <c r="I24" s="2" t="inlineStr">
        <is>
          <t>Internal</t>
        </is>
      </c>
      <c r="J24" s="2" t="inlineStr">
        <is>
          <t>Sigurd</t>
        </is>
      </c>
      <c r="K24" s="2" t="inlineStr">
        <is>
          <t>High</t>
        </is>
      </c>
      <c r="L24" s="2" t="inlineStr">
        <is>
          <t>Open</t>
        </is>
      </c>
      <c r="M24" s="2" t="inlineStr">
        <is>
          <t>2026-10-21</t>
        </is>
      </c>
      <c r="N24" s="2" t="inlineStr"/>
      <c r="O24" s="2" t="inlineStr"/>
    </row>
    <row r="25">
      <c r="A25" s="2" t="inlineStr">
        <is>
          <t>IN-21</t>
        </is>
      </c>
      <c r="B25" s="2" t="inlineStr">
        <is>
          <t>Inlet</t>
        </is>
      </c>
      <c r="C25" s="2" t="inlineStr">
        <is>
          <t>Software</t>
        </is>
      </c>
      <c r="D25" s="2" t="inlineStr">
        <is>
          <t>Code bug</t>
        </is>
      </c>
      <c r="E25" s="2" t="inlineStr">
        <is>
          <t>Task watchdogs disabled</t>
        </is>
      </c>
      <c r="F25" s="2" t="inlineStr">
        <is>
          <t>Main task 20 ms, OPC_Processing and Datasources 50 ms; watchdogs off in PFC200_Sim.</t>
        </is>
      </c>
      <c r="G25" s="2" t="inlineStr">
        <is>
          <t>CAS FD Inlet OI23; task configuration</t>
        </is>
      </c>
      <c r="H25" s="2" t="inlineStr">
        <is>
          <t>Enable with margin</t>
        </is>
      </c>
      <c r="I25" s="2" t="inlineStr">
        <is>
          <t>Internal</t>
        </is>
      </c>
      <c r="J25" s="2" t="inlineStr">
        <is>
          <t>Sigurd</t>
        </is>
      </c>
      <c r="K25" s="2" t="inlineStr">
        <is>
          <t>Medium</t>
        </is>
      </c>
      <c r="L25" s="2" t="inlineStr">
        <is>
          <t>Open</t>
        </is>
      </c>
      <c r="M25" s="2" t="inlineStr">
        <is>
          <t>2026-10-21</t>
        </is>
      </c>
      <c r="N25" s="2" t="inlineStr">
        <is>
          <t>2026-10-23 measured on the PFC200 (10.1.2.41): htop CPU 86 %, load average 2.6 (single core); task monitor: Task 20 ms avg 3.0 / max 5.0 ms (about 15 %), OPC_Processing 50 ms avg 0.11 / max 0.68 ms, DatasourcesTask 50 ms avg 3.4 / max 154 ms, jitter up to 104 ms. IEC tasks about 22 %: the rest is runtime threads (OPC UA server for the HMI / 7 sessions, OPC UA client of the data sources). Next: thread names, HMI-off test, data source update rate; then a task split (20 ms outlet + CommonRIO, 100 ms control incl. FramoDataProcessing, data sources lowest) and watchdogs per task. Task config kept as is for now.</t>
        </is>
      </c>
      <c r="O25" s="2" t="inlineStr"/>
    </row>
    <row r="26">
      <c r="A26" s="2" t="inlineStr">
        <is>
          <t>IN-22</t>
        </is>
      </c>
      <c r="B26" s="2" t="inlineStr">
        <is>
          <t>Inlet</t>
        </is>
      </c>
      <c r="C26" s="2" t="inlineStr">
        <is>
          <t>Software</t>
        </is>
      </c>
      <c r="D26" s="2" t="inlineStr">
        <is>
          <t>PLC gap</t>
        </is>
      </c>
      <c r="E26" s="2" t="inlineStr">
        <is>
          <t>Level setpoint not from operating mode</t>
        </is>
      </c>
      <c r="F26" s="2" t="inlineStr">
        <is>
          <t>FD: setpoint follows the operating mode (O-35/O-45/O-60/S-75). PLC uses an operator setpoint only.</t>
        </is>
      </c>
      <c r="G26" s="2" t="inlineStr">
        <is>
          <t>CAS FD Inlet OI14</t>
        </is>
      </c>
      <c r="H26" s="2" t="inlineStr"/>
      <c r="I26" s="2" t="inlineStr">
        <is>
          <t>Internal</t>
        </is>
      </c>
      <c r="J26" s="2" t="inlineStr">
        <is>
          <t>Sigurd</t>
        </is>
      </c>
      <c r="K26" s="2" t="inlineStr">
        <is>
          <t>Medium</t>
        </is>
      </c>
      <c r="L26" s="2" t="inlineStr">
        <is>
          <t>Open</t>
        </is>
      </c>
      <c r="M26" s="2" t="inlineStr">
        <is>
          <t>2026-10-21</t>
        </is>
      </c>
      <c r="N26" s="2" t="inlineStr"/>
      <c r="O26" s="2" t="inlineStr"/>
    </row>
    <row r="27">
      <c r="A27" s="2" t="inlineStr">
        <is>
          <t>IN-23</t>
        </is>
      </c>
      <c r="B27" s="2" t="inlineStr">
        <is>
          <t>Inlet</t>
        </is>
      </c>
      <c r="C27" s="2" t="inlineStr">
        <is>
          <t>Software</t>
        </is>
      </c>
      <c r="D27" s="2" t="inlineStr">
        <is>
          <t>PLC gap</t>
        </is>
      </c>
      <c r="E27" s="2" t="inlineStr">
        <is>
          <t>Restart after power failure</t>
        </is>
      </c>
      <c r="F27" s="2" t="inlineStr">
        <is>
          <t>FD 'Motor-Forrigling' + motor table T3/T4: motors that were running restart after a power cut, larger ones in sequence (1 hydraulic pump, 2a/2b/2c inlet pumps, 3 oxygenator pumps; vacuum J01A-C auto-restart). PLC: PenStart is not retained, so after a PLC power loss nothing restarts; if only the Framo cabinets lose power, all pumps restart together once Available. Needs a retained 'was running' state per motor and the restart sequence with delays.</t>
        </is>
      </c>
      <c r="G27" s="2" t="inlineStr">
        <is>
          <t>FD rev B 'Motor-Forrigling', Tabell T3/T4; CAS FD Inlet OI16; FB.Inlet.InletSupervisor (PenStart)</t>
        </is>
      </c>
      <c r="H27" s="2" t="inlineStr"/>
      <c r="I27" s="2" t="inlineStr">
        <is>
          <t>Internal</t>
        </is>
      </c>
      <c r="J27" s="2" t="inlineStr">
        <is>
          <t>Sigurd</t>
        </is>
      </c>
      <c r="K27" s="2" t="inlineStr">
        <is>
          <t>Medium</t>
        </is>
      </c>
      <c r="L27" s="2" t="inlineStr">
        <is>
          <t>Open</t>
        </is>
      </c>
      <c r="M27" s="2" t="inlineStr">
        <is>
          <t>2026-10-21</t>
        </is>
      </c>
      <c r="N27" s="2" t="inlineStr"/>
      <c r="O27" s="2" t="inlineStr"/>
    </row>
    <row r="28">
      <c r="A28" s="2" t="inlineStr">
        <is>
          <t>IN-24</t>
        </is>
      </c>
      <c r="B28" s="2" t="inlineStr">
        <is>
          <t>Inlet</t>
        </is>
      </c>
      <c r="C28" s="2" t="inlineStr">
        <is>
          <t>Physical</t>
        </is>
      </c>
      <c r="D28" s="2" t="inlineStr">
        <is>
          <t>Missing info</t>
        </is>
      </c>
      <c r="E28" s="2" t="inlineStr">
        <is>
          <t>Level transmitter signal direction and model</t>
        </is>
      </c>
      <c r="F28" s="2" t="inlineStr">
        <is>
          <t>4 mA = low or high? VEGAPULS C21 vs C22; outside full scale assumed 2 m.</t>
        </is>
      </c>
      <c r="G28" s="2" t="inlineStr">
        <is>
          <t>CAS FD Inlet OI18; Sensors folder</t>
        </is>
      </c>
      <c r="H28" s="2" t="inlineStr"/>
      <c r="I28" s="2" t="inlineStr">
        <is>
          <t>Internal</t>
        </is>
      </c>
      <c r="J28" s="2" t="inlineStr">
        <is>
          <t>Sigurd</t>
        </is>
      </c>
      <c r="K28" s="2" t="inlineStr">
        <is>
          <t>Medium</t>
        </is>
      </c>
      <c r="L28" s="2" t="inlineStr">
        <is>
          <t>Open</t>
        </is>
      </c>
      <c r="M28" s="2" t="inlineStr">
        <is>
          <t>2026-10-21</t>
        </is>
      </c>
      <c r="N28" s="2" t="inlineStr"/>
      <c r="O28" s="2" t="inlineStr"/>
    </row>
    <row r="29">
      <c r="A29" s="2" t="inlineStr">
        <is>
          <t>IN-25</t>
        </is>
      </c>
      <c r="B29" s="2" t="inlineStr">
        <is>
          <t>Inlet</t>
        </is>
      </c>
      <c r="C29" s="2" t="inlineStr">
        <is>
          <t>Both</t>
        </is>
      </c>
      <c r="D29" s="2" t="inlineStr">
        <is>
          <t>Missing info</t>
        </is>
      </c>
      <c r="E29" s="2" t="inlineStr">
        <is>
          <t>IP plan and network drawing</t>
        </is>
      </c>
      <c r="F29" s="2" t="inlineStr">
        <is>
          <t>No IP plan or network drawing for PLC, RIOs, Framo controllers, drives and HMI.</t>
        </is>
      </c>
      <c r="G29" s="2" t="inlineStr">
        <is>
          <t>CAS FD Inlet OI23</t>
        </is>
      </c>
      <c r="H29" s="2" t="inlineStr"/>
      <c r="I29" s="2" t="inlineStr">
        <is>
          <t>Internal</t>
        </is>
      </c>
      <c r="J29" s="2" t="inlineStr">
        <is>
          <t>Project</t>
        </is>
      </c>
      <c r="K29" s="2" t="inlineStr">
        <is>
          <t>Medium</t>
        </is>
      </c>
      <c r="L29" s="2" t="inlineStr">
        <is>
          <t>Open</t>
        </is>
      </c>
      <c r="M29" s="2" t="inlineStr">
        <is>
          <t>2026-10-21</t>
        </is>
      </c>
      <c r="N29" s="2" t="inlineStr"/>
      <c r="O29" s="2" t="inlineStr"/>
    </row>
    <row r="30">
      <c r="A30" s="2" t="inlineStr">
        <is>
          <t>IN-26</t>
        </is>
      </c>
      <c r="B30" s="2" t="inlineStr">
        <is>
          <t>Inlet</t>
        </is>
      </c>
      <c r="C30" s="2" t="inlineStr">
        <is>
          <t>Physical</t>
        </is>
      </c>
      <c r="D30" s="2" t="inlineStr">
        <is>
          <t>Inconsistency</t>
        </is>
      </c>
      <c r="E30" s="2" t="inlineStr">
        <is>
          <t>Framo hardware designations</t>
        </is>
      </c>
      <c r="F30" s="2" t="inlineStr">
        <is>
          <t>Framo spec rev B CX8190 vs drawing 874.001 CX8200; SX1000 vs SR2000 pump.</t>
        </is>
      </c>
      <c r="G30" s="2" t="inlineStr">
        <is>
          <t>CAS FD Inlet OI19; 15169-874.001</t>
        </is>
      </c>
      <c r="H30" s="2" t="inlineStr"/>
      <c r="I30" s="2" t="inlineStr">
        <is>
          <t>Framo</t>
        </is>
      </c>
      <c r="J30" s="2" t="inlineStr">
        <is>
          <t>Sigurd</t>
        </is>
      </c>
      <c r="K30" s="2" t="inlineStr">
        <is>
          <t>Low</t>
        </is>
      </c>
      <c r="L30" s="2" t="inlineStr">
        <is>
          <t>Open</t>
        </is>
      </c>
      <c r="M30" s="2" t="inlineStr">
        <is>
          <t>2026-10-21</t>
        </is>
      </c>
      <c r="N30" s="2" t="inlineStr"/>
      <c r="O30" s="2" t="inlineStr"/>
    </row>
    <row r="31">
      <c r="A31" s="2" t="inlineStr">
        <is>
          <t>IN-27</t>
        </is>
      </c>
      <c r="B31" s="2" t="inlineStr">
        <is>
          <t>Inlet</t>
        </is>
      </c>
      <c r="C31" s="2" t="inlineStr">
        <is>
          <t>Software</t>
        </is>
      </c>
      <c r="D31" s="2" t="inlineStr">
        <is>
          <t>Decision</t>
        </is>
      </c>
      <c r="E31" s="2" t="inlineStr">
        <is>
          <t>Restart after a pump trip</t>
        </is>
      </c>
      <c r="F31" s="2" t="inlineStr">
        <is>
          <t>Should a tripped inlet pump restart by itself?</t>
        </is>
      </c>
      <c r="G31" s="2" t="inlineStr">
        <is>
          <t>FD rev B §3.2.1, Tabell 6 (LOCKDOWN), 'Motor-Forrigling'</t>
        </is>
      </c>
      <c r="H31" s="2" t="inlineStr"/>
      <c r="I31" s="2" t="inlineStr">
        <is>
          <t>Internal</t>
        </is>
      </c>
      <c r="J31" s="2" t="inlineStr">
        <is>
          <t>Project</t>
        </is>
      </c>
      <c r="K31" s="2" t="inlineStr">
        <is>
          <t>Low</t>
        </is>
      </c>
      <c r="L31" s="2" t="inlineStr">
        <is>
          <t>Decided</t>
        </is>
      </c>
      <c r="M31" s="2" t="inlineStr">
        <is>
          <t>2026-10-21</t>
        </is>
      </c>
      <c r="N31" s="2" t="inlineStr">
        <is>
          <t>Given by FD rev B: a fault gives LOCKDOWN; the operator sends Reset after fixing it; the pump then restarts while group start (Pen Start) is active. PLC complies (start request stays latched; seen in sim 2026-10-21).</t>
        </is>
      </c>
      <c r="O31" s="2" t="inlineStr">
        <is>
          <t>2026-10-21</t>
        </is>
      </c>
    </row>
    <row r="32">
      <c r="A32" s="2" t="inlineStr">
        <is>
          <t>IN-28</t>
        </is>
      </c>
      <c r="B32" s="2" t="inlineStr">
        <is>
          <t>Inlet</t>
        </is>
      </c>
      <c r="C32" s="2" t="inlineStr">
        <is>
          <t>Both</t>
        </is>
      </c>
      <c r="D32" s="2" t="inlineStr">
        <is>
          <t>Decision</t>
        </is>
      </c>
      <c r="E32" s="2" t="inlineStr">
        <is>
          <t>Emergency stop as interlock with auto-restart</t>
        </is>
      </c>
      <c r="F32" s="2" t="inlineStr">
        <is>
          <t>FD motor table lists emergency stop as the interlock for PM01-03, PU01-03 and XV01-M01, and 'Motor-Forrigling' says a motor stopped by an interlock in auto restarts automatically when the interlock clears (group start still active). Read literally, pumps restart when the E-stop is released — normally an E-stop reset requires a deliberate restart. Framo E-stops are in series across all lines.</t>
        </is>
      </c>
      <c r="G32" s="2" t="inlineStr">
        <is>
          <t>FD rev B 'Motor-Forrigling', Tabell T3; Aksjonsliste #16</t>
        </is>
      </c>
      <c r="H32" s="2" t="inlineStr">
        <is>
          <t>E-stop release requires operator restart (recommended) / auto-restart as FD</t>
        </is>
      </c>
      <c r="I32" s="2" t="inlineStr">
        <is>
          <t>Internal / Framo</t>
        </is>
      </c>
      <c r="J32" s="2" t="inlineStr">
        <is>
          <t>Project</t>
        </is>
      </c>
      <c r="K32" s="2" t="inlineStr">
        <is>
          <t>High</t>
        </is>
      </c>
      <c r="L32" s="2" t="inlineStr">
        <is>
          <t>Open</t>
        </is>
      </c>
      <c r="M32" s="2" t="inlineStr">
        <is>
          <t>2026-10-21</t>
        </is>
      </c>
      <c r="N32" s="2" t="inlineStr"/>
      <c r="O32" s="2" t="inlineStr"/>
    </row>
    <row r="33">
      <c r="A33" s="2" t="inlineStr">
        <is>
          <t>IN-29</t>
        </is>
      </c>
      <c r="B33" s="2" t="inlineStr">
        <is>
          <t>Inlet</t>
        </is>
      </c>
      <c r="C33" s="2" t="inlineStr">
        <is>
          <t>Software</t>
        </is>
      </c>
      <c r="D33" s="2" t="inlineStr">
        <is>
          <t>PLC gap</t>
        </is>
      </c>
      <c r="E33" s="2" t="inlineStr">
        <is>
          <t>Reset to Framo held until state change</t>
        </is>
      </c>
      <c r="F33" s="2" t="inlineStr">
        <is>
          <t>HMI Reset was passed straight through as a level and never cleared by the PLC; a 1 s HMI pulse could be lost in the OPC UA data source.</t>
        </is>
      </c>
      <c r="G33" s="2" t="inlineStr">
        <is>
          <t>FB.Inlet.InletControl; InletConfigDUT.ResetExpectedTime; InletPumpAlarmDUT.FailedToReset</t>
        </is>
      </c>
      <c r="H33" s="2" t="inlineStr"/>
      <c r="I33" s="2" t="inlineStr">
        <is>
          <t>Internal</t>
        </is>
      </c>
      <c r="J33" s="2" t="inlineStr">
        <is>
          <t>Sigurd</t>
        </is>
      </c>
      <c r="K33" s="2" t="inlineStr">
        <is>
          <t>Medium</t>
        </is>
      </c>
      <c r="L33" s="2" t="inlineStr">
        <is>
          <t>Fixed</t>
        </is>
      </c>
      <c r="M33" s="2" t="inlineStr">
        <is>
          <t>2026-10-21</t>
        </is>
      </c>
      <c r="N33" s="2" t="inlineStr">
        <is>
          <t>Fixed in CODESYS 2026-10-21 (FB.Inlet.InletControl): Command.Reset accepted in HOLD/LOCKDOWN, latched as ResetRequest and cleared when the state change is seen; no change within 2 x InletConfig.ResetExpectedTime (default 5 s) -&gt; Reset withdrawn and warning Alarm.FailedToReset (AutoAcknowledge). Command.Reset is exported read/write over OPC UA (checked on 10.1.2.41). Pre-compile clean; full compile and sim test pending.</t>
        </is>
      </c>
      <c r="O33" s="2" t="inlineStr">
        <is>
          <t>2026-10-21</t>
        </is>
      </c>
    </row>
    <row r="34">
      <c r="A34" s="2" t="inlineStr">
        <is>
          <t>IN-30</t>
        </is>
      </c>
      <c r="B34" s="2" t="inlineStr">
        <is>
          <t>Inlet</t>
        </is>
      </c>
      <c r="C34" s="2" t="inlineStr">
        <is>
          <t>Software</t>
        </is>
      </c>
      <c r="D34" s="2" t="inlineStr">
        <is>
          <t>PLC gap</t>
        </is>
      </c>
      <c r="E34" s="2" t="inlineStr">
        <is>
          <t>Reset button on the HMI</t>
        </is>
      </c>
      <c r="F34" s="2" t="inlineStr">
        <is>
          <t>No way for the operator to give Reset to the Framo controller (FD 3.2.1: Reset from the HMI).</t>
        </is>
      </c>
      <c r="G34" s="2" t="inlineStr">
        <is>
          <t>heimdall-cas-hmi PR #5 (task/inlet-pump-reset-button); CAS FD Inlet OI24</t>
        </is>
      </c>
      <c r="H34" s="2" t="inlineStr"/>
      <c r="I34" s="2" t="inlineStr">
        <is>
          <t>Internal</t>
        </is>
      </c>
      <c r="J34" s="2" t="inlineStr">
        <is>
          <t>Sigurd</t>
        </is>
      </c>
      <c r="K34" s="2" t="inlineStr">
        <is>
          <t>Medium</t>
        </is>
      </c>
      <c r="L34" s="2" t="inlineStr">
        <is>
          <t>In progress</t>
        </is>
      </c>
      <c r="M34" s="2" t="inlineStr">
        <is>
          <t>2026-10-21</t>
        </is>
      </c>
      <c r="N34" s="2" t="inlineStr">
        <is>
          <t>Test HMI: Reset button per inlet pump, enabled in HOLD/LOCKDOWN, with confirmation (PR #5, open). Production HMI needs the same.</t>
        </is>
      </c>
      <c r="O34" s="2" t="inlineStr"/>
    </row>
    <row r="35">
      <c r="A35" s="2" t="inlineStr">
        <is>
          <t>OX-01</t>
        </is>
      </c>
      <c r="B35" s="2" t="inlineStr">
        <is>
          <t>Oxygen</t>
        </is>
      </c>
      <c r="C35" s="2" t="inlineStr">
        <is>
          <t>Physical</t>
        </is>
      </c>
      <c r="D35" s="2" t="inlineStr">
        <is>
          <t>Decision</t>
        </is>
      </c>
      <c r="E35" s="2" t="inlineStr">
        <is>
          <t>Oxygen supplier</t>
        </is>
      </c>
      <c r="F35" s="2" t="inlineStr">
        <is>
          <t>Supplier for oxygen chosen.</t>
        </is>
      </c>
      <c r="G35" s="2" t="inlineStr">
        <is>
          <t>Project meeting 2026-10-21</t>
        </is>
      </c>
      <c r="H35" s="2" t="inlineStr"/>
      <c r="I35" s="2" t="inlineStr">
        <is>
          <t>Internal</t>
        </is>
      </c>
      <c r="J35" s="2" t="inlineStr">
        <is>
          <t>Project</t>
        </is>
      </c>
      <c r="K35" s="2" t="inlineStr">
        <is>
          <t>High</t>
        </is>
      </c>
      <c r="L35" s="2" t="inlineStr">
        <is>
          <t>Decided</t>
        </is>
      </c>
      <c r="M35" s="2" t="inlineStr">
        <is>
          <t>2026-10-21</t>
        </is>
      </c>
      <c r="N35" s="2" t="inlineStr">
        <is>
          <t>Normex</t>
        </is>
      </c>
      <c r="O35" s="2" t="inlineStr">
        <is>
          <t>2026-10-21</t>
        </is>
      </c>
    </row>
    <row r="36">
      <c r="A36" s="2" t="inlineStr">
        <is>
          <t>OX-02</t>
        </is>
      </c>
      <c r="B36" s="2" t="inlineStr">
        <is>
          <t>Oxygen</t>
        </is>
      </c>
      <c r="C36" s="2" t="inlineStr">
        <is>
          <t>Physical</t>
        </is>
      </c>
      <c r="D36" s="2" t="inlineStr">
        <is>
          <t>Missing info</t>
        </is>
      </c>
      <c r="E36" s="2" t="inlineStr">
        <is>
          <t>Oxygen supply and safety interface (Normex)</t>
        </is>
      </c>
      <c r="F36" s="2" t="inlineStr">
        <is>
          <t>Supply type (LOX / generator / valve panel), normal and minimum supply pressure, low-supply-pressure signal, PLC-controlled master shut-off valve, non-return protection (HAZID: water back into oxygenator and O2 tank). Supply pressure is display-only in the PLC.</t>
        </is>
      </c>
      <c r="G36" s="2" t="inlineStr">
        <is>
          <t>HAZID oksygen; PenControl O2InjectionPressureSensor</t>
        </is>
      </c>
      <c r="H36" s="2" t="inlineStr"/>
      <c r="I36" s="2" t="inlineStr">
        <is>
          <t>Normex</t>
        </is>
      </c>
      <c r="J36" s="2" t="inlineStr">
        <is>
          <t>Sigurd</t>
        </is>
      </c>
      <c r="K36" s="2" t="inlineStr">
        <is>
          <t>High</t>
        </is>
      </c>
      <c r="L36" s="2" t="inlineStr">
        <is>
          <t>Open</t>
        </is>
      </c>
      <c r="M36" s="2" t="inlineStr">
        <is>
          <t>2026-10-21</t>
        </is>
      </c>
      <c r="N36" s="2" t="inlineStr"/>
      <c r="O36" s="2" t="inlineStr"/>
    </row>
    <row r="37">
      <c r="A37" s="2" t="inlineStr">
        <is>
          <t>OX-03</t>
        </is>
      </c>
      <c r="B37" s="2" t="inlineStr">
        <is>
          <t>Oxygen</t>
        </is>
      </c>
      <c r="C37" s="2" t="inlineStr">
        <is>
          <t>Both</t>
        </is>
      </c>
      <c r="D37" s="2" t="inlineStr">
        <is>
          <t>Inconsistency</t>
        </is>
      </c>
      <c r="E37" s="2" t="inlineStr">
        <is>
          <t>O2 control valve type</t>
        </is>
      </c>
      <c r="F37" s="2" t="inlineStr">
        <is>
          <t>FD: PWM solenoid valve 'via 4-20 mA'. PLC: proportional valve 4-20 mA, 4 mA = closed, 2 s ramp. Linde photos show 'pwm_ventil'; Normex sketch (15.10.26) shows a motorised valve. Signal, stroke time, fail position, position feedback unknown.</t>
        </is>
      </c>
      <c r="G37" s="2" t="inlineStr">
        <is>
          <t>FD §3.2.4; FB.OxySystem.OxyControl</t>
        </is>
      </c>
      <c r="H37" s="2" t="inlineStr"/>
      <c r="I37" s="2" t="inlineStr">
        <is>
          <t>Normex</t>
        </is>
      </c>
      <c r="J37" s="2" t="inlineStr">
        <is>
          <t>Sigurd</t>
        </is>
      </c>
      <c r="K37" s="2" t="inlineStr">
        <is>
          <t>High</t>
        </is>
      </c>
      <c r="L37" s="2" t="inlineStr">
        <is>
          <t>Open</t>
        </is>
      </c>
      <c r="M37" s="2" t="inlineStr">
        <is>
          <t>2026-10-21</t>
        </is>
      </c>
      <c r="N37" s="2" t="inlineStr"/>
      <c r="O37" s="2" t="inlineStr"/>
    </row>
    <row r="38">
      <c r="A38" s="2" t="inlineStr">
        <is>
          <t>OX-04</t>
        </is>
      </c>
      <c r="B38" s="2" t="inlineStr">
        <is>
          <t>Oxygen</t>
        </is>
      </c>
      <c r="C38" s="2" t="inlineStr">
        <is>
          <t>Both</t>
        </is>
      </c>
      <c r="D38" s="2" t="inlineStr">
        <is>
          <t>Missing info</t>
        </is>
      </c>
      <c r="E38" s="2" t="inlineStr">
        <is>
          <t>O2 flow meter</t>
        </is>
      </c>
      <c r="F38" s="2" t="inlineStr">
        <is>
          <t>Unit (kg/h or Nl/min), range and signal type. PLC and FIC work in kg/h; FD FIC in l/min.</t>
        </is>
      </c>
      <c r="G38" s="2" t="inlineStr">
        <is>
          <t>FD Tabell 14; ConfigValues</t>
        </is>
      </c>
      <c r="H38" s="2" t="inlineStr"/>
      <c r="I38" s="2" t="inlineStr">
        <is>
          <t>Normex</t>
        </is>
      </c>
      <c r="J38" s="2" t="inlineStr">
        <is>
          <t>Sigurd</t>
        </is>
      </c>
      <c r="K38" s="2" t="inlineStr">
        <is>
          <t>Medium</t>
        </is>
      </c>
      <c r="L38" s="2" t="inlineStr">
        <is>
          <t>Open</t>
        </is>
      </c>
      <c r="M38" s="2" t="inlineStr">
        <is>
          <t>2026-10-21</t>
        </is>
      </c>
      <c r="N38" s="2" t="inlineStr"/>
      <c r="O38" s="2" t="inlineStr"/>
    </row>
    <row r="39">
      <c r="A39" s="2" t="inlineStr">
        <is>
          <t>OX-05</t>
        </is>
      </c>
      <c r="B39" s="2" t="inlineStr">
        <is>
          <t>Oxygen</t>
        </is>
      </c>
      <c r="C39" s="2" t="inlineStr">
        <is>
          <t>Physical</t>
        </is>
      </c>
      <c r="D39" s="2" t="inlineStr">
        <is>
          <t>Missing info</t>
        </is>
      </c>
      <c r="E39" s="2" t="inlineStr">
        <is>
          <t>Injector model and gas ratio</t>
        </is>
      </c>
      <c r="F39" s="2" t="inlineStr">
        <is>
          <t>FlowMax 104.2 kg/h = Chucaotech at 15 % v/v; same model 34.7 kg/h at 5 %. Confirm model, allowed ratio, valve and flow meter range.</t>
        </is>
      </c>
      <c r="G39" s="2" t="inlineStr">
        <is>
          <t>Oppsett innløsere CT.xlsx; ConfigValues OxySystemConfig</t>
        </is>
      </c>
      <c r="H39" s="2" t="inlineStr"/>
      <c r="I39" s="2" t="inlineStr">
        <is>
          <t>Normex / Chucaotech</t>
        </is>
      </c>
      <c r="J39" s="2" t="inlineStr">
        <is>
          <t>Sigurd</t>
        </is>
      </c>
      <c r="K39" s="2" t="inlineStr">
        <is>
          <t>Medium</t>
        </is>
      </c>
      <c r="L39" s="2" t="inlineStr">
        <is>
          <t>Open</t>
        </is>
      </c>
      <c r="M39" s="2" t="inlineStr">
        <is>
          <t>2026-10-21</t>
        </is>
      </c>
      <c r="N39" s="2" t="inlineStr"/>
      <c r="O39" s="2" t="inlineStr"/>
    </row>
    <row r="40">
      <c r="A40" s="2" t="inlineStr">
        <is>
          <t>OX-06</t>
        </is>
      </c>
      <c r="B40" s="2" t="inlineStr">
        <is>
          <t>Oxygen</t>
        </is>
      </c>
      <c r="C40" s="2" t="inlineStr">
        <is>
          <t>Software</t>
        </is>
      </c>
      <c r="D40" s="2" t="inlineStr">
        <is>
          <t>PLC gap</t>
        </is>
      </c>
      <c r="E40" s="2" t="inlineStr">
        <is>
          <t>High-high O2 / supersaturation shut-off</t>
        </is>
      </c>
      <c r="F40" s="2" t="inlineStr">
        <is>
          <t>FD (HOLD) asks oxygenation to close on high-high O2 near the inlet. No HH or TDGP shut-off in OxyControl/InletSupervisor.</t>
        </is>
      </c>
      <c r="G40" s="2" t="inlineStr">
        <is>
          <t>FD §3.2.4</t>
        </is>
      </c>
      <c r="H40" s="2" t="inlineStr">
        <is>
          <t>Decide limits, sensors, latching</t>
        </is>
      </c>
      <c r="I40" s="2" t="inlineStr">
        <is>
          <t>Internal</t>
        </is>
      </c>
      <c r="J40" s="2" t="inlineStr">
        <is>
          <t>Sigurd</t>
        </is>
      </c>
      <c r="K40" s="2" t="inlineStr">
        <is>
          <t>High</t>
        </is>
      </c>
      <c r="L40" s="2" t="inlineStr">
        <is>
          <t>Open</t>
        </is>
      </c>
      <c r="M40" s="2" t="inlineStr">
        <is>
          <t>2026-10-21</t>
        </is>
      </c>
      <c r="N40" s="2" t="inlineStr"/>
      <c r="O40" s="2" t="inlineStr"/>
    </row>
    <row r="41">
      <c r="A41" s="2" t="inlineStr">
        <is>
          <t>OX-07</t>
        </is>
      </c>
      <c r="B41" s="2" t="inlineStr">
        <is>
          <t>Oxygen</t>
        </is>
      </c>
      <c r="C41" s="2" t="inlineStr">
        <is>
          <t>Software</t>
        </is>
      </c>
      <c r="D41" s="2" t="inlineStr">
        <is>
          <t>Decision</t>
        </is>
      </c>
      <c r="E41" s="2" t="inlineStr">
        <is>
          <t>O2 setpoint and unit</t>
        </is>
      </c>
      <c r="F41" s="2" t="inlineStr">
        <is>
          <t>8.0 mg/L is a placeholder. FD asks '% or g/l?'. Sizing sheet uses % saturation (≥80 %, 90 % at 16 °C).</t>
        </is>
      </c>
      <c r="G41" s="2" t="inlineStr">
        <is>
          <t>FD §3.2.4; Beregningsark dimensjonering 17mars26.xlsx</t>
        </is>
      </c>
      <c r="H41" s="2" t="inlineStr">
        <is>
          <t>mg/L vs % saturation (with temperature/salinity)</t>
        </is>
      </c>
      <c r="I41" s="2" t="inlineStr">
        <is>
          <t>Customer / biologist</t>
        </is>
      </c>
      <c r="J41" s="2" t="inlineStr">
        <is>
          <t>Project</t>
        </is>
      </c>
      <c r="K41" s="2" t="inlineStr">
        <is>
          <t>High</t>
        </is>
      </c>
      <c r="L41" s="2" t="inlineStr">
        <is>
          <t>Open</t>
        </is>
      </c>
      <c r="M41" s="2" t="inlineStr">
        <is>
          <t>2026-10-21</t>
        </is>
      </c>
      <c r="N41" s="2" t="inlineStr"/>
      <c r="O41" s="2" t="inlineStr"/>
    </row>
    <row r="42">
      <c r="A42" s="2" t="inlineStr">
        <is>
          <t>OX-08</t>
        </is>
      </c>
      <c r="B42" s="2" t="inlineStr">
        <is>
          <t>Oxygen</t>
        </is>
      </c>
      <c r="C42" s="2" t="inlineStr">
        <is>
          <t>Software</t>
        </is>
      </c>
      <c r="D42" s="2" t="inlineStr">
        <is>
          <t>Decision</t>
        </is>
      </c>
      <c r="E42" s="2" t="inlineStr">
        <is>
          <t>Loss of pen O2 measurement</t>
        </is>
      </c>
      <c r="F42" s="2" t="inlineStr">
        <is>
          <t>OIC01 holds its output indefinitely. FD sentence unfinished ('skal regulatoren…').</t>
        </is>
      </c>
      <c r="G42" s="2" t="inlineStr">
        <is>
          <t>FD §3.2.4; FB.Inlet.InletSupervisor</t>
        </is>
      </c>
      <c r="H42" s="2" t="inlineStr">
        <is>
          <t>Hold / fixed fallback flow / hold for limited time then alarm</t>
        </is>
      </c>
      <c r="I42" s="2" t="inlineStr">
        <is>
          <t>Internal</t>
        </is>
      </c>
      <c r="J42" s="2" t="inlineStr">
        <is>
          <t>Project</t>
        </is>
      </c>
      <c r="K42" s="2" t="inlineStr">
        <is>
          <t>High</t>
        </is>
      </c>
      <c r="L42" s="2" t="inlineStr">
        <is>
          <t>Open</t>
        </is>
      </c>
      <c r="M42" s="2" t="inlineStr">
        <is>
          <t>2026-10-21</t>
        </is>
      </c>
      <c r="N42" s="2" t="inlineStr"/>
      <c r="O42" s="2" t="inlineStr"/>
    </row>
    <row r="43">
      <c r="A43" s="2" t="inlineStr">
        <is>
          <t>OX-09</t>
        </is>
      </c>
      <c r="B43" s="2" t="inlineStr">
        <is>
          <t>Oxygen</t>
        </is>
      </c>
      <c r="C43" s="2" t="inlineStr">
        <is>
          <t>Software</t>
        </is>
      </c>
      <c r="D43" s="2" t="inlineStr">
        <is>
          <t>Decision</t>
        </is>
      </c>
      <c r="E43" s="2" t="inlineStr">
        <is>
          <t>Loss of line flow measurement</t>
        </is>
      </c>
      <c r="F43" s="2" t="inlineStr">
        <is>
          <t>Line leaves auto and holds its last valve position open-loop.</t>
        </is>
      </c>
      <c r="G43" s="2" t="inlineStr">
        <is>
          <t>FB.OxySystem.OxyControl</t>
        </is>
      </c>
      <c r="H43" s="2" t="inlineStr">
        <is>
          <t>Hold vs close valve</t>
        </is>
      </c>
      <c r="I43" s="2" t="inlineStr">
        <is>
          <t>Internal</t>
        </is>
      </c>
      <c r="J43" s="2" t="inlineStr">
        <is>
          <t>Project</t>
        </is>
      </c>
      <c r="K43" s="2" t="inlineStr">
        <is>
          <t>Medium</t>
        </is>
      </c>
      <c r="L43" s="2" t="inlineStr">
        <is>
          <t>Open</t>
        </is>
      </c>
      <c r="M43" s="2" t="inlineStr">
        <is>
          <t>2026-10-21</t>
        </is>
      </c>
      <c r="N43" s="2" t="inlineStr"/>
      <c r="O43" s="2" t="inlineStr"/>
    </row>
    <row r="44">
      <c r="A44" s="2" t="inlineStr">
        <is>
          <t>OX-10</t>
        </is>
      </c>
      <c r="B44" s="2" t="inlineStr">
        <is>
          <t>Oxygen</t>
        </is>
      </c>
      <c r="C44" s="2" t="inlineStr">
        <is>
          <t>Both</t>
        </is>
      </c>
      <c r="D44" s="2" t="inlineStr">
        <is>
          <t>Missing info</t>
        </is>
      </c>
      <c r="E44" s="2" t="inlineStr">
        <is>
          <t>Pressure transmitters absolute or gauge</t>
        </is>
      </c>
      <c r="F44" s="2" t="inlineStr">
        <is>
          <t>PressureSetpoint 4.0 bar assumes absolute; ValveOpenPressure 3.0 must change together with it. Range assumed 0-10 bar. Chucaotech required inlet pressure needed.</t>
        </is>
      </c>
      <c r="G44" s="2" t="inlineStr">
        <is>
          <t>OxySystemConfigDUT; ConfigValues</t>
        </is>
      </c>
      <c r="H44" s="2" t="inlineStr"/>
      <c r="I44" s="2" t="inlineStr">
        <is>
          <t>Normex / Chucaotech</t>
        </is>
      </c>
      <c r="J44" s="2" t="inlineStr">
        <is>
          <t>Sigurd</t>
        </is>
      </c>
      <c r="K44" s="2" t="inlineStr">
        <is>
          <t>Medium</t>
        </is>
      </c>
      <c r="L44" s="2" t="inlineStr">
        <is>
          <t>Open</t>
        </is>
      </c>
      <c r="M44" s="2" t="inlineStr">
        <is>
          <t>2026-10-21</t>
        </is>
      </c>
      <c r="N44" s="2" t="inlineStr"/>
      <c r="O44" s="2" t="inlineStr"/>
    </row>
    <row r="45">
      <c r="A45" s="2" t="inlineStr">
        <is>
          <t>OX-11</t>
        </is>
      </c>
      <c r="B45" s="2" t="inlineStr">
        <is>
          <t>Oxygen</t>
        </is>
      </c>
      <c r="C45" s="2" t="inlineStr">
        <is>
          <t>Both</t>
        </is>
      </c>
      <c r="D45" s="2" t="inlineStr">
        <is>
          <t>Missing info</t>
        </is>
      </c>
      <c r="E45" s="2" t="inlineStr">
        <is>
          <t>ATV650 settings</t>
        </is>
      </c>
      <c r="F45" s="2" t="inlineStr">
        <is>
          <t>Unit id, comm-loss behaviour (FD expects hold at preset speed), 20-50 Hz and preset 40 Hz vs NX 3153 pump curve. Fault codes in PLC came from ATV320 list (NVE41316) — re-check for ATV650.</t>
        </is>
      </c>
      <c r="G45" s="2" t="inlineStr">
        <is>
          <t>ATV600-Communication-parameters-EAV64332; FB.OxySystem.OxyPumpATV650</t>
        </is>
      </c>
      <c r="H45" s="2" t="inlineStr"/>
      <c r="I45" s="2" t="inlineStr">
        <is>
          <t>Internal</t>
        </is>
      </c>
      <c r="J45" s="2" t="inlineStr">
        <is>
          <t>Sigurd</t>
        </is>
      </c>
      <c r="K45" s="2" t="inlineStr">
        <is>
          <t>Medium</t>
        </is>
      </c>
      <c r="L45" s="2" t="inlineStr">
        <is>
          <t>Open</t>
        </is>
      </c>
      <c r="M45" s="2" t="inlineStr">
        <is>
          <t>2026-10-21</t>
        </is>
      </c>
      <c r="N45" s="2" t="inlineStr"/>
      <c r="O45" s="2" t="inlineStr"/>
    </row>
    <row r="46">
      <c r="A46" s="2" t="inlineStr">
        <is>
          <t>OX-12</t>
        </is>
      </c>
      <c r="B46" s="2" t="inlineStr">
        <is>
          <t>Oxygen</t>
        </is>
      </c>
      <c r="C46" s="2" t="inlineStr">
        <is>
          <t>Physical</t>
        </is>
      </c>
      <c r="D46" s="2" t="inlineStr">
        <is>
          <t>Missing info</t>
        </is>
      </c>
      <c r="E46" s="2" t="inlineStr">
        <is>
          <t>Ethernet to oxy pump drive cabinet</t>
        </is>
      </c>
      <c r="F46" s="2" t="inlineStr">
        <is>
          <t>Ethernet not drawn in 15169-874.004-DriveCabinet. DIN RJ45 socket (Bjørn) vs build into cabinets (JP).</t>
        </is>
      </c>
      <c r="G46" s="2" t="inlineStr">
        <is>
          <t>Mail 2026-10-16 'Drive cobinet for sideløpspumpen'</t>
        </is>
      </c>
      <c r="H46" s="2" t="inlineStr"/>
      <c r="I46" s="2" t="inlineStr">
        <is>
          <t>Internal</t>
        </is>
      </c>
      <c r="J46" s="2" t="inlineStr">
        <is>
          <t>Project</t>
        </is>
      </c>
      <c r="K46" s="2" t="inlineStr">
        <is>
          <t>Low</t>
        </is>
      </c>
      <c r="L46" s="2" t="inlineStr">
        <is>
          <t>Open</t>
        </is>
      </c>
      <c r="M46" s="2" t="inlineStr">
        <is>
          <t>2026-10-21</t>
        </is>
      </c>
      <c r="N46" s="2" t="inlineStr"/>
      <c r="O46" s="2" t="inlineStr"/>
    </row>
    <row r="47">
      <c r="A47" s="2" t="inlineStr">
        <is>
          <t>OX-13</t>
        </is>
      </c>
      <c r="B47" s="2" t="inlineStr">
        <is>
          <t>Oxygen</t>
        </is>
      </c>
      <c r="C47" s="2" t="inlineStr">
        <is>
          <t>Software</t>
        </is>
      </c>
      <c r="D47" s="2" t="inlineStr">
        <is>
          <t>PLC gap</t>
        </is>
      </c>
      <c r="E47" s="2" t="inlineStr">
        <is>
          <t>OIC01 and O2 sensor alarms</t>
        </is>
      </c>
      <c r="F47" s="2" t="inlineStr">
        <is>
          <t>FD Tabell 15: OIC01 deviation from setpoint and deviation between O2 sensors — not implemented.</t>
        </is>
      </c>
      <c r="G47" s="2" t="inlineStr">
        <is>
          <t>FD Tabell 15</t>
        </is>
      </c>
      <c r="H47" s="2" t="inlineStr"/>
      <c r="I47" s="2" t="inlineStr">
        <is>
          <t>Internal</t>
        </is>
      </c>
      <c r="J47" s="2" t="inlineStr">
        <is>
          <t>Sigurd</t>
        </is>
      </c>
      <c r="K47" s="2" t="inlineStr">
        <is>
          <t>Low</t>
        </is>
      </c>
      <c r="L47" s="2" t="inlineStr">
        <is>
          <t>Open</t>
        </is>
      </c>
      <c r="M47" s="2" t="inlineStr">
        <is>
          <t>2026-10-21</t>
        </is>
      </c>
      <c r="N47" s="2" t="inlineStr"/>
      <c r="O47" s="2" t="inlineStr"/>
    </row>
    <row r="48">
      <c r="A48" s="2" t="inlineStr">
        <is>
          <t>OX-14</t>
        </is>
      </c>
      <c r="B48" s="2" t="inlineStr">
        <is>
          <t>Oxygen</t>
        </is>
      </c>
      <c r="C48" s="2" t="inlineStr">
        <is>
          <t>Software</t>
        </is>
      </c>
      <c r="D48" s="2" t="inlineStr">
        <is>
          <t>Inconsistency</t>
        </is>
      </c>
      <c r="E48" s="2" t="inlineStr">
        <is>
          <t>Controller units vs FD</t>
        </is>
      </c>
      <c r="F48" s="2" t="inlineStr">
        <is>
          <t>FD: OIC01 0-100 %, three parameter sets; FIC in l/min. PLC: OIC01 total kg/h shared over lines, one set (Kp 50, Ti 1800). Deliberate — add to FD deviation list.</t>
        </is>
      </c>
      <c r="G48" s="2" t="inlineStr">
        <is>
          <t>FD Tabell 13/14; FB.Inlet.InletSupervisor</t>
        </is>
      </c>
      <c r="H48" s="2" t="inlineStr"/>
      <c r="I48" s="2" t="inlineStr">
        <is>
          <t>Internal</t>
        </is>
      </c>
      <c r="J48" s="2" t="inlineStr">
        <is>
          <t>Sigurd</t>
        </is>
      </c>
      <c r="K48" s="2" t="inlineStr">
        <is>
          <t>Low</t>
        </is>
      </c>
      <c r="L48" s="2" t="inlineStr">
        <is>
          <t>Open</t>
        </is>
      </c>
      <c r="M48" s="2" t="inlineStr">
        <is>
          <t>2026-10-21</t>
        </is>
      </c>
      <c r="N48" s="2" t="inlineStr"/>
      <c r="O48" s="2" t="inlineStr"/>
    </row>
    <row r="49">
      <c r="A49" s="2" t="inlineStr">
        <is>
          <t>OX-15</t>
        </is>
      </c>
      <c r="B49" s="2" t="inlineStr">
        <is>
          <t>Oxygen</t>
        </is>
      </c>
      <c r="C49" s="2" t="inlineStr">
        <is>
          <t>Physical</t>
        </is>
      </c>
      <c r="D49" s="2" t="inlineStr">
        <is>
          <t>Missing info</t>
        </is>
      </c>
      <c r="E49" s="2" t="inlineStr">
        <is>
          <t>Orbit 864 Modbus noise / hub</t>
        </is>
      </c>
      <c r="F49" s="2" t="inlineStr">
        <is>
          <t>Mechatronic recommends a hub on the Orbit 864 RTU line. Hub ordered for Bergen lab?</t>
        </is>
      </c>
      <c r="G49" s="2" t="inlineStr">
        <is>
          <t>Mail 2026-09-21/30 'Bestilling av komponent til Lab i Bergen'</t>
        </is>
      </c>
      <c r="H49" s="2" t="inlineStr"/>
      <c r="I49" s="2" t="inlineStr">
        <is>
          <t>Internal</t>
        </is>
      </c>
      <c r="J49" s="2" t="inlineStr">
        <is>
          <t>Bjørn</t>
        </is>
      </c>
      <c r="K49" s="2" t="inlineStr">
        <is>
          <t>Low</t>
        </is>
      </c>
      <c r="L49" s="2" t="inlineStr">
        <is>
          <t>Open</t>
        </is>
      </c>
      <c r="M49" s="2" t="inlineStr">
        <is>
          <t>2026-10-21</t>
        </is>
      </c>
      <c r="N49" s="2" t="inlineStr"/>
      <c r="O49" s="2" t="inlineStr"/>
    </row>
    <row r="50">
      <c r="A50" s="2" t="inlineStr">
        <is>
          <t>OX-16</t>
        </is>
      </c>
      <c r="B50" s="2" t="inlineStr">
        <is>
          <t>Oxygen</t>
        </is>
      </c>
      <c r="C50" s="2" t="inlineStr">
        <is>
          <t>Software</t>
        </is>
      </c>
      <c r="D50" s="2" t="inlineStr">
        <is>
          <t>Code bug</t>
        </is>
      </c>
      <c r="E50" s="2" t="inlineStr">
        <is>
          <t>Drive IP in ConfigValues</t>
        </is>
      </c>
      <c r="F50" s="2" t="inlineStr">
        <is>
          <t>InletRIOConfig DriveIP still 10.1.2.101; CAS simulator pod is at 10.1.2.150.</t>
        </is>
      </c>
      <c r="G50" s="2" t="inlineStr">
        <is>
          <t>PFC200_Sim ConfigValues</t>
        </is>
      </c>
      <c r="H50" s="2" t="inlineStr"/>
      <c r="I50" s="2" t="inlineStr">
        <is>
          <t>Internal</t>
        </is>
      </c>
      <c r="J50" s="2" t="inlineStr">
        <is>
          <t>Sigurd</t>
        </is>
      </c>
      <c r="K50" s="2" t="inlineStr">
        <is>
          <t>Low</t>
        </is>
      </c>
      <c r="L50" s="2" t="inlineStr">
        <is>
          <t>Fixed</t>
        </is>
      </c>
      <c r="M50" s="2" t="inlineStr">
        <is>
          <t>2026-10-21</t>
        </is>
      </c>
      <c r="N50" s="2" t="inlineStr">
        <is>
          <t>ConfigValues 2026-10-22: CommonRIO, InletRIO 1-3 and the drives point at the CAS plant 10.1.2.150 (simulator-manager, southshore-bergen); also written into the running PLC's retain.</t>
        </is>
      </c>
      <c r="O50" s="2" t="inlineStr">
        <is>
          <t>2026-10-22</t>
        </is>
      </c>
    </row>
    <row r="51">
      <c r="A51" s="2" t="inlineStr">
        <is>
          <t>OX-17</t>
        </is>
      </c>
      <c r="B51" s="2" t="inlineStr">
        <is>
          <t>Oxygen</t>
        </is>
      </c>
      <c r="C51" s="2" t="inlineStr">
        <is>
          <t>Physical</t>
        </is>
      </c>
      <c r="D51" s="2" t="inlineStr">
        <is>
          <t>Missing hardware</t>
        </is>
      </c>
      <c r="E51" s="2" t="inlineStr">
        <is>
          <t>Low O2 supply pressure switch / master shut-off valve</t>
        </is>
      </c>
      <c r="F51" s="2" t="inlineStr">
        <is>
          <t>No PLC input for low supply pressure and no PLC-controlled master shut-off valve on P&amp;ID or in PLC (HAZID backflow risk).</t>
        </is>
      </c>
      <c r="G51" s="2" t="inlineStr">
        <is>
          <t>HAZID oksygen; P&amp;ID rev A</t>
        </is>
      </c>
      <c r="H51" s="2" t="inlineStr"/>
      <c r="I51" s="2" t="inlineStr">
        <is>
          <t>Normex</t>
        </is>
      </c>
      <c r="J51" s="2" t="inlineStr">
        <is>
          <t>Sigurd</t>
        </is>
      </c>
      <c r="K51" s="2" t="inlineStr">
        <is>
          <t>High</t>
        </is>
      </c>
      <c r="L51" s="2" t="inlineStr">
        <is>
          <t>Decided</t>
        </is>
      </c>
      <c r="M51" s="2" t="inlineStr">
        <is>
          <t>2026-10-21</t>
        </is>
      </c>
      <c r="N51" s="2" t="inlineStr">
        <is>
          <t>2026-10-22 (Sigurd): no on/off solenoid or master shut-off valves upstream of the O2 control valves (budget decision). The control valve is the only shut-off: the PLC holds it at 4 mA (closed) without the valve permit (oxy pump running, PT after the pump good and above ValveOpenPressure, default 3.0 bar), before RunDelay, without the inlet permit and on emergency stop. A low-supply-pressure input is still not available. Consequences: O2 HH shut-off (OX-06) can only close the control valves; backflow protection (HAZID) relies on the non-return valves.</t>
        </is>
      </c>
      <c r="O51" s="2" t="inlineStr">
        <is>
          <t>2026-10-22</t>
        </is>
      </c>
    </row>
    <row r="52">
      <c r="A52" s="2" t="inlineStr">
        <is>
          <t>OX-18</t>
        </is>
      </c>
      <c r="B52" s="2" t="inlineStr">
        <is>
          <t>Oxygen</t>
        </is>
      </c>
      <c r="C52" s="2" t="inlineStr">
        <is>
          <t>Software</t>
        </is>
      </c>
      <c r="D52" s="2" t="inlineStr">
        <is>
          <t>Code bug</t>
        </is>
      </c>
      <c r="E52" s="2" t="inlineStr">
        <is>
          <t>ATV650 fault codes from ATV320 list</t>
        </is>
      </c>
      <c r="F52" s="2" t="inlineStr">
        <is>
          <t>OxyPumpATV650 decodes LFT with ATV320 (NVE41316) codes (e.g. 16 OHF, 17 OLF, 22 USF). Verify against ATV600 list EAV64332.</t>
        </is>
      </c>
      <c r="G52" s="2" t="inlineStr">
        <is>
          <t>FB.OxySystem.OxyPumpATV650</t>
        </is>
      </c>
      <c r="H52" s="2" t="inlineStr"/>
      <c r="I52" s="2" t="inlineStr">
        <is>
          <t>Internal</t>
        </is>
      </c>
      <c r="J52" s="2" t="inlineStr">
        <is>
          <t>Sigurd</t>
        </is>
      </c>
      <c r="K52" s="2" t="inlineStr">
        <is>
          <t>Medium</t>
        </is>
      </c>
      <c r="L52" s="2" t="inlineStr">
        <is>
          <t>Closed</t>
        </is>
      </c>
      <c r="M52" s="2" t="inlineStr">
        <is>
          <t>2026-10-21</t>
        </is>
      </c>
      <c r="N52" s="2" t="inlineStr">
        <is>
          <t>Checked 2026-10-21 (CAS FD Oxygen): register addresses and fault codes match ATV600 EAV64332. Verify on the real drive at commissioning; program design/design basis still say ATV320.</t>
        </is>
      </c>
      <c r="O52" s="2" t="inlineStr">
        <is>
          <t>2026-10-21</t>
        </is>
      </c>
    </row>
    <row r="53">
      <c r="A53" s="2" t="inlineStr">
        <is>
          <t>OX-19</t>
        </is>
      </c>
      <c r="B53" s="2" t="inlineStr">
        <is>
          <t>Oxygen</t>
        </is>
      </c>
      <c r="C53" s="2" t="inlineStr">
        <is>
          <t>Physical</t>
        </is>
      </c>
      <c r="D53" s="2" t="inlineStr">
        <is>
          <t>Inconsistency</t>
        </is>
      </c>
      <c r="E53" s="2" t="inlineStr">
        <is>
          <t>Side-stream pump head vs 4 bar setpoint</t>
        </is>
      </c>
      <c r="F53" s="2" t="inlineStr">
        <is>
          <t>Flygt NX 3153 datasheet: 10.2 m head at duty point, 18.3 m at shut-off (≈1-1.8 bar) — cannot give 4.0 bar after the pump. Simulator assumes 4.5 bar rise.</t>
        </is>
      </c>
      <c r="G53" s="2" t="inlineStr">
        <is>
          <t>CAS FD Oxygen OI18; NX 3153 datasheet; design_basis.toml</t>
        </is>
      </c>
      <c r="H53" s="2" t="inlineStr">
        <is>
          <t>Confirm pump, injector inlet pressure and setpoint</t>
        </is>
      </c>
      <c r="I53" s="2" t="inlineStr">
        <is>
          <t>Normex / Chucaotech</t>
        </is>
      </c>
      <c r="J53" s="2" t="inlineStr">
        <is>
          <t>Sigurd</t>
        </is>
      </c>
      <c r="K53" s="2" t="inlineStr">
        <is>
          <t>High</t>
        </is>
      </c>
      <c r="L53" s="2" t="inlineStr">
        <is>
          <t>Open</t>
        </is>
      </c>
      <c r="M53" s="2" t="inlineStr">
        <is>
          <t>2026-10-21</t>
        </is>
      </c>
      <c r="N53" s="2" t="inlineStr"/>
      <c r="O53" s="2" t="inlineStr"/>
    </row>
    <row r="54">
      <c r="A54" s="2" t="inlineStr">
        <is>
          <t>OX-20</t>
        </is>
      </c>
      <c r="B54" s="2" t="inlineStr">
        <is>
          <t>Oxygen</t>
        </is>
      </c>
      <c r="C54" s="2" t="inlineStr">
        <is>
          <t>Software</t>
        </is>
      </c>
      <c r="D54" s="2" t="inlineStr">
        <is>
          <t>Code bug</t>
        </is>
      </c>
      <c r="E54" s="2" t="inlineStr">
        <is>
          <t>Bad flow measurement causes over-dosing</t>
        </is>
      </c>
      <c r="F54" s="2" t="inlineStr">
        <is>
          <t>When a line's flow measurement is bad its flow counts as 0 in the sharing while its valve stays where it was — other lines add the same flow again.</t>
        </is>
      </c>
      <c r="G54" s="2" t="inlineStr">
        <is>
          <t>CAS FD Oxygen OI15; FB.Inlet.InletSupervisor</t>
        </is>
      </c>
      <c r="H54" s="2" t="inlineStr">
        <is>
          <t>Use last good flow or close the valve</t>
        </is>
      </c>
      <c r="I54" s="2" t="inlineStr">
        <is>
          <t>Internal</t>
        </is>
      </c>
      <c r="J54" s="2" t="inlineStr">
        <is>
          <t>Sigurd</t>
        </is>
      </c>
      <c r="K54" s="2" t="inlineStr">
        <is>
          <t>High</t>
        </is>
      </c>
      <c r="L54" s="2" t="inlineStr">
        <is>
          <t>Open</t>
        </is>
      </c>
      <c r="M54" s="2" t="inlineStr">
        <is>
          <t>2026-10-21</t>
        </is>
      </c>
      <c r="N54" s="2" t="inlineStr"/>
      <c r="O54" s="2" t="inlineStr"/>
    </row>
    <row r="55">
      <c r="A55" s="2" t="inlineStr">
        <is>
          <t>OX-21</t>
        </is>
      </c>
      <c r="B55" s="2" t="inlineStr">
        <is>
          <t>Oxygen</t>
        </is>
      </c>
      <c r="C55" s="2" t="inlineStr">
        <is>
          <t>Both</t>
        </is>
      </c>
      <c r="D55" s="2" t="inlineStr">
        <is>
          <t>Missing hardware</t>
        </is>
      </c>
      <c r="E55" s="2" t="inlineStr">
        <is>
          <t>Emergency stop to oxygen system</t>
        </is>
      </c>
      <c r="F55" s="2" t="inlineStr">
        <is>
          <t>No E-stop input wired to the Heimdall PLC; oxygen stop on E-stop not possible.</t>
        </is>
      </c>
      <c r="G55" s="2" t="inlineStr">
        <is>
          <t>CAS FD Oxygen OI22; CAS FD Inlet OI13</t>
        </is>
      </c>
      <c r="H55" s="2" t="inlineStr"/>
      <c r="I55" s="2" t="inlineStr">
        <is>
          <t>Internal</t>
        </is>
      </c>
      <c r="J55" s="2" t="inlineStr">
        <is>
          <t>Project</t>
        </is>
      </c>
      <c r="K55" s="2" t="inlineStr">
        <is>
          <t>High</t>
        </is>
      </c>
      <c r="L55" s="2" t="inlineStr">
        <is>
          <t>Open</t>
        </is>
      </c>
      <c r="M55" s="2" t="inlineStr">
        <is>
          <t>2026-10-21</t>
        </is>
      </c>
      <c r="N55" s="2" t="inlineStr"/>
      <c r="O55" s="2" t="inlineStr"/>
    </row>
    <row r="56">
      <c r="A56" s="2" t="inlineStr">
        <is>
          <t>OX-22</t>
        </is>
      </c>
      <c r="B56" s="2" t="inlineStr">
        <is>
          <t>Oxygen</t>
        </is>
      </c>
      <c r="C56" s="2" t="inlineStr">
        <is>
          <t>Both</t>
        </is>
      </c>
      <c r="D56" s="2" t="inlineStr">
        <is>
          <t>Missing info</t>
        </is>
      </c>
      <c r="E56" s="2" t="inlineStr">
        <is>
          <t>ATV650 comm-loss behaviour</t>
        </is>
      </c>
      <c r="F56" s="2" t="inlineStr">
        <is>
          <t>Factory default on lost PLC link is freewheel stop; FD wants hold at preset speed (fallback speed / speed maintain).</t>
        </is>
      </c>
      <c r="G56" s="2" t="inlineStr">
        <is>
          <t>CAS FD Oxygen OI19</t>
        </is>
      </c>
      <c r="H56" s="2" t="inlineStr">
        <is>
          <t>Set ETHL fallback speed</t>
        </is>
      </c>
      <c r="I56" s="2" t="inlineStr">
        <is>
          <t>Internal</t>
        </is>
      </c>
      <c r="J56" s="2" t="inlineStr">
        <is>
          <t>Sigurd</t>
        </is>
      </c>
      <c r="K56" s="2" t="inlineStr">
        <is>
          <t>Medium</t>
        </is>
      </c>
      <c r="L56" s="2" t="inlineStr">
        <is>
          <t>Open</t>
        </is>
      </c>
      <c r="M56" s="2" t="inlineStr">
        <is>
          <t>2026-10-21</t>
        </is>
      </c>
      <c r="N56" s="2" t="inlineStr"/>
      <c r="O56" s="2" t="inlineStr"/>
    </row>
    <row r="57">
      <c r="A57" s="2" t="inlineStr">
        <is>
          <t>OX-23</t>
        </is>
      </c>
      <c r="B57" s="2" t="inlineStr">
        <is>
          <t>Oxygen</t>
        </is>
      </c>
      <c r="C57" s="2" t="inlineStr">
        <is>
          <t>Software</t>
        </is>
      </c>
      <c r="D57" s="2" t="inlineStr">
        <is>
          <t>PLC gap</t>
        </is>
      </c>
      <c r="E57" s="2" t="inlineStr">
        <is>
          <t>Low pressure-drop alarm over injector</t>
        </is>
      </c>
      <c r="F57" s="2" t="inlineStr">
        <is>
          <t>OxynatorOutletPressure is read but unused; no low dP alarm.</t>
        </is>
      </c>
      <c r="G57" s="2" t="inlineStr">
        <is>
          <t>CAS FD Oxygen OI10</t>
        </is>
      </c>
      <c r="H57" s="2" t="inlineStr"/>
      <c r="I57" s="2" t="inlineStr">
        <is>
          <t>Internal</t>
        </is>
      </c>
      <c r="J57" s="2" t="inlineStr">
        <is>
          <t>Sigurd</t>
        </is>
      </c>
      <c r="K57" s="2" t="inlineStr">
        <is>
          <t>Medium</t>
        </is>
      </c>
      <c r="L57" s="2" t="inlineStr">
        <is>
          <t>Open</t>
        </is>
      </c>
      <c r="M57" s="2" t="inlineStr">
        <is>
          <t>2026-10-21</t>
        </is>
      </c>
      <c r="N57" s="2" t="inlineStr"/>
      <c r="O57" s="2" t="inlineStr"/>
    </row>
    <row r="58">
      <c r="A58" s="2" t="inlineStr">
        <is>
          <t>OX-24</t>
        </is>
      </c>
      <c r="B58" s="2" t="inlineStr">
        <is>
          <t>Oxygen</t>
        </is>
      </c>
      <c r="C58" s="2" t="inlineStr">
        <is>
          <t>Both</t>
        </is>
      </c>
      <c r="D58" s="2" t="inlineStr">
        <is>
          <t>PLC gap</t>
        </is>
      </c>
      <c r="E58" s="2" t="inlineStr">
        <is>
          <t>Pump leakage / temperature contacts unused</t>
        </is>
      </c>
      <c r="F58" s="2" t="inlineStr">
        <is>
          <t>Side-stream pump leakage/temperature contacts exist on RIO1 only and are not used in the logic.</t>
        </is>
      </c>
      <c r="G58" s="2" t="inlineStr">
        <is>
          <t>CAS FD Oxygen OI24</t>
        </is>
      </c>
      <c r="H58" s="2" t="inlineStr"/>
      <c r="I58" s="2" t="inlineStr">
        <is>
          <t>Internal</t>
        </is>
      </c>
      <c r="J58" s="2" t="inlineStr">
        <is>
          <t>Sigurd</t>
        </is>
      </c>
      <c r="K58" s="2" t="inlineStr">
        <is>
          <t>Medium</t>
        </is>
      </c>
      <c r="L58" s="2" t="inlineStr">
        <is>
          <t>Open</t>
        </is>
      </c>
      <c r="M58" s="2" t="inlineStr">
        <is>
          <t>2026-10-21</t>
        </is>
      </c>
      <c r="N58" s="2" t="inlineStr"/>
      <c r="O58" s="2" t="inlineStr"/>
    </row>
    <row r="59">
      <c r="A59" s="2" t="inlineStr">
        <is>
          <t>OX-25</t>
        </is>
      </c>
      <c r="B59" s="2" t="inlineStr">
        <is>
          <t>Oxygen</t>
        </is>
      </c>
      <c r="C59" s="2" t="inlineStr">
        <is>
          <t>Physical</t>
        </is>
      </c>
      <c r="D59" s="2" t="inlineStr">
        <is>
          <t>Inconsistency</t>
        </is>
      </c>
      <c r="E59" s="2" t="inlineStr">
        <is>
          <t>O2 supply pressure</t>
        </is>
      </c>
      <c r="F59" s="2" t="inlineStr">
        <is>
          <t>Normex sketch '2.5 bar ?' vs Linde sheet 10 bar.</t>
        </is>
      </c>
      <c r="G59" s="2" t="inlineStr">
        <is>
          <t>CAS FD Oxygen OI1; Normex sketch 15.10.26</t>
        </is>
      </c>
      <c r="H59" s="2" t="inlineStr"/>
      <c r="I59" s="2" t="inlineStr">
        <is>
          <t>Normex</t>
        </is>
      </c>
      <c r="J59" s="2" t="inlineStr">
        <is>
          <t>Sigurd</t>
        </is>
      </c>
      <c r="K59" s="2" t="inlineStr">
        <is>
          <t>Medium</t>
        </is>
      </c>
      <c r="L59" s="2" t="inlineStr">
        <is>
          <t>Open</t>
        </is>
      </c>
      <c r="M59" s="2" t="inlineStr">
        <is>
          <t>2026-10-21</t>
        </is>
      </c>
      <c r="N59" s="2" t="inlineStr"/>
      <c r="O59" s="2" t="inlineStr"/>
    </row>
    <row r="60">
      <c r="A60" s="2" t="inlineStr">
        <is>
          <t>OX-26</t>
        </is>
      </c>
      <c r="B60" s="2" t="inlineStr">
        <is>
          <t>Oxygen</t>
        </is>
      </c>
      <c r="C60" s="2" t="inlineStr">
        <is>
          <t>Physical</t>
        </is>
      </c>
      <c r="D60" s="2" t="inlineStr">
        <is>
          <t>Decision</t>
        </is>
      </c>
      <c r="E60" s="2" t="inlineStr">
        <is>
          <t>Oxygen capacity with one inlet pump out</t>
        </is>
      </c>
      <c r="F60" s="2" t="inlineStr">
        <is>
          <t>Two lines must carry the full oxygen demand (~560-730 t biomass) when one inlet pump is out.</t>
        </is>
      </c>
      <c r="G60" s="2" t="inlineStr">
        <is>
          <t>CAS FD Oxygen OI26; sizing sheet</t>
        </is>
      </c>
      <c r="H60" s="2" t="inlineStr"/>
      <c r="I60" s="2" t="inlineStr">
        <is>
          <t>Internal</t>
        </is>
      </c>
      <c r="J60" s="2" t="inlineStr">
        <is>
          <t>Project</t>
        </is>
      </c>
      <c r="K60" s="2" t="inlineStr">
        <is>
          <t>Medium</t>
        </is>
      </c>
      <c r="L60" s="2" t="inlineStr">
        <is>
          <t>Open</t>
        </is>
      </c>
      <c r="M60" s="2" t="inlineStr">
        <is>
          <t>2026-10-21</t>
        </is>
      </c>
      <c r="N60" s="2" t="inlineStr"/>
      <c r="O60" s="2" t="inlineStr"/>
    </row>
    <row r="61">
      <c r="A61" s="2" t="inlineStr">
        <is>
          <t>OX-27</t>
        </is>
      </c>
      <c r="B61" s="2" t="inlineStr">
        <is>
          <t>Oxygen</t>
        </is>
      </c>
      <c r="C61" s="2" t="inlineStr">
        <is>
          <t>Software</t>
        </is>
      </c>
      <c r="D61" s="2" t="inlineStr">
        <is>
          <t>Code bug</t>
        </is>
      </c>
      <c r="E61" s="2" t="inlineStr">
        <is>
          <t>PT40 variable name</t>
        </is>
      </c>
      <c r="F61" s="2" t="inlineStr">
        <is>
          <t>Supply pressure transmitter has the wrong variable name in the PLC vs P&amp;ID PT40.</t>
        </is>
      </c>
      <c r="G61" s="2" t="inlineStr">
        <is>
          <t>CAS FD Oxygen OI4</t>
        </is>
      </c>
      <c r="H61" s="2" t="inlineStr"/>
      <c r="I61" s="2" t="inlineStr">
        <is>
          <t>Internal</t>
        </is>
      </c>
      <c r="J61" s="2" t="inlineStr">
        <is>
          <t>Sigurd</t>
        </is>
      </c>
      <c r="K61" s="2" t="inlineStr">
        <is>
          <t>Low</t>
        </is>
      </c>
      <c r="L61" s="2" t="inlineStr">
        <is>
          <t>Open</t>
        </is>
      </c>
      <c r="M61" s="2" t="inlineStr">
        <is>
          <t>2026-10-21</t>
        </is>
      </c>
      <c r="N61" s="2" t="inlineStr"/>
      <c r="O61" s="2" t="inlineStr"/>
    </row>
    <row r="62">
      <c r="A62" s="2" t="inlineStr">
        <is>
          <t>OUT-01</t>
        </is>
      </c>
      <c r="B62" s="2" t="inlineStr">
        <is>
          <t>Outlet</t>
        </is>
      </c>
      <c r="C62" s="2" t="inlineStr">
        <is>
          <t>Both</t>
        </is>
      </c>
      <c r="D62" s="2" t="inlineStr">
        <is>
          <t>Decision</t>
        </is>
      </c>
      <c r="E62" s="2" t="inlineStr">
        <is>
          <t>Outlet on power loss</t>
        </is>
      </c>
      <c r="F62" s="2" t="inlineStr">
        <is>
          <t>Should the outlet close automatically on power loss (FD rev B) — accumulator, backup power for the pump, or manual?</t>
        </is>
      </c>
      <c r="G62" s="2" t="inlineStr">
        <is>
          <t>FD §3.2.3; Servi Q&amp;A; mail 'Automatisk stenging' 28.09</t>
        </is>
      </c>
      <c r="H62" s="2" t="inlineStr">
        <is>
          <t>Accumulator / backup power / manual hand pump</t>
        </is>
      </c>
      <c r="I62" s="2" t="inlineStr">
        <is>
          <t>Internal</t>
        </is>
      </c>
      <c r="J62" s="2" t="inlineStr">
        <is>
          <t>Project</t>
        </is>
      </c>
      <c r="K62" s="2" t="inlineStr">
        <is>
          <t>High</t>
        </is>
      </c>
      <c r="L62" s="2" t="inlineStr">
        <is>
          <t>Decided</t>
        </is>
      </c>
      <c r="M62" s="2" t="inlineStr">
        <is>
          <t>2026-10-21</t>
        </is>
      </c>
      <c r="N62" s="2" t="inlineStr">
        <is>
          <t>No automatic close. Dampers hold position; operator overrides with the HPU hand pump. Accumulator deferred — space for retrofit.</t>
        </is>
      </c>
      <c r="O62" s="2" t="inlineStr">
        <is>
          <t>2026-10-21</t>
        </is>
      </c>
    </row>
    <row r="63">
      <c r="A63" s="2" t="inlineStr">
        <is>
          <t>OUT-02</t>
        </is>
      </c>
      <c r="B63" s="2" t="inlineStr">
        <is>
          <t>Outlet</t>
        </is>
      </c>
      <c r="C63" s="2" t="inlineStr">
        <is>
          <t>Both</t>
        </is>
      </c>
      <c r="D63" s="2" t="inlineStr">
        <is>
          <t>Missing hardware</t>
        </is>
      </c>
      <c r="E63" s="2" t="inlineStr">
        <is>
          <t>Pressure transmitters per cylinder (8 → 4)</t>
        </is>
      </c>
      <c r="F63" s="2" t="inlineStr">
        <is>
          <t>Servi drawing A1 (2939238) has one PT per cylinder (1PT1-1PT4, 0-250 bar, A/plus line). FD PT61-68 and PLC (PressureOpen + PressureClose, 8 AIs) expect two. End position confirmable in one direction only.</t>
        </is>
      </c>
      <c r="G63" s="2" t="inlineStr">
        <is>
          <t>Servi A1; FD §3.2.3; CylinderInputDUT; mail Bjørn 2026-10-19</t>
        </is>
      </c>
      <c r="H63" s="2" t="inlineStr">
        <is>
          <t>Buy 2nd PT (Minimess point, Servi offer) / detect end-of-stroke by pulses stopping</t>
        </is>
      </c>
      <c r="I63" s="2" t="inlineStr">
        <is>
          <t>Servi</t>
        </is>
      </c>
      <c r="J63" s="2" t="inlineStr">
        <is>
          <t>Bjørn</t>
        </is>
      </c>
      <c r="K63" s="2" t="inlineStr">
        <is>
          <t>High</t>
        </is>
      </c>
      <c r="L63" s="2" t="inlineStr">
        <is>
          <t>Open</t>
        </is>
      </c>
      <c r="M63" s="2" t="inlineStr">
        <is>
          <t>2026-10-21</t>
        </is>
      </c>
      <c r="N63" s="2" t="inlineStr"/>
      <c r="O63" s="2" t="inlineStr"/>
    </row>
    <row r="64">
      <c r="A64" s="2" t="inlineStr">
        <is>
          <t>OUT-03</t>
        </is>
      </c>
      <c r="B64" s="2" t="inlineStr">
        <is>
          <t>Outlet</t>
        </is>
      </c>
      <c r="C64" s="2" t="inlineStr">
        <is>
          <t>Physical</t>
        </is>
      </c>
      <c r="D64" s="2" t="inlineStr">
        <is>
          <t>Missing info</t>
        </is>
      </c>
      <c r="E64" s="2" t="inlineStr">
        <is>
          <t>Plus stroke direction</t>
        </is>
      </c>
      <c r="F64" s="2" t="inlineStr">
        <is>
          <t>Does plus stroke (A, extend) open or close the damper? Decides which end has the PT and the counter direction.</t>
        </is>
      </c>
      <c r="G64" s="2" t="inlineStr">
        <is>
          <t>Servi A1</t>
        </is>
      </c>
      <c r="H64" s="2" t="inlineStr"/>
      <c r="I64" s="2" t="inlineStr">
        <is>
          <t>Østerbø / Servi</t>
        </is>
      </c>
      <c r="J64" s="2" t="inlineStr">
        <is>
          <t>Bjørn</t>
        </is>
      </c>
      <c r="K64" s="2" t="inlineStr">
        <is>
          <t>High</t>
        </is>
      </c>
      <c r="L64" s="2" t="inlineStr">
        <is>
          <t>Open</t>
        </is>
      </c>
      <c r="M64" s="2" t="inlineStr">
        <is>
          <t>2026-10-21</t>
        </is>
      </c>
      <c r="N64" s="2" t="inlineStr"/>
      <c r="O64" s="2" t="inlineStr"/>
    </row>
    <row r="65">
      <c r="A65" s="2" t="inlineStr">
        <is>
          <t>OUT-04</t>
        </is>
      </c>
      <c r="B65" s="2" t="inlineStr">
        <is>
          <t>Outlet</t>
        </is>
      </c>
      <c r="C65" s="2" t="inlineStr">
        <is>
          <t>Both</t>
        </is>
      </c>
      <c r="D65" s="2" t="inlineStr">
        <is>
          <t>PLC gap</t>
        </is>
      </c>
      <c r="E65" s="2" t="inlineStr">
        <is>
          <t>Junction box signals not mapped</t>
        </is>
      </c>
      <c r="F65" s="2" t="inlineStr">
        <is>
          <t>JB 18068: pump on backup/normal power (K1/K2), filter clogged, E-stop loop, local Start/Stop panel ST-16183, motor running feedback, power-lost relay (action 82). PLC maps only StarterFault, HydraulicOilTankFault, EStop + Start/Reset.</t>
        </is>
      </c>
      <c r="G65" s="2" t="inlineStr">
        <is>
          <t>Servi JB 18068 A2/A3; FB.RIO.CommonRIO</t>
        </is>
      </c>
      <c r="H65" s="2" t="inlineStr"/>
      <c r="I65" s="2" t="inlineStr">
        <is>
          <t>Servi</t>
        </is>
      </c>
      <c r="J65" s="2" t="inlineStr">
        <is>
          <t>Bjørn</t>
        </is>
      </c>
      <c r="K65" s="2" t="inlineStr">
        <is>
          <t>High</t>
        </is>
      </c>
      <c r="L65" s="2" t="inlineStr">
        <is>
          <t>Open</t>
        </is>
      </c>
      <c r="M65" s="2" t="inlineStr">
        <is>
          <t>2026-10-21</t>
        </is>
      </c>
      <c r="N65" s="2" t="inlineStr"/>
      <c r="O65" s="2" t="inlineStr"/>
    </row>
    <row r="66">
      <c r="A66" s="2" t="inlineStr">
        <is>
          <t>OUT-05</t>
        </is>
      </c>
      <c r="B66" s="2" t="inlineStr">
        <is>
          <t>Outlet</t>
        </is>
      </c>
      <c r="C66" s="2" t="inlineStr">
        <is>
          <t>Both</t>
        </is>
      </c>
      <c r="D66" s="2" t="inlineStr">
        <is>
          <t>PLC gap</t>
        </is>
      </c>
      <c r="E66" s="2" t="inlineStr">
        <is>
          <t>Power-lost alarm to operator</t>
        </is>
      </c>
      <c r="F66" s="2" t="inlineStr">
        <is>
          <t>With manual override decided, operator must be alarmed on power loss. Needs the Servi power-lost / backup-power relay as a PLC input.</t>
        </is>
      </c>
      <c r="G66" s="2" t="inlineStr">
        <is>
          <t>Decision 2026-10-21; action item 82</t>
        </is>
      </c>
      <c r="H66" s="2" t="inlineStr"/>
      <c r="I66" s="2" t="inlineStr">
        <is>
          <t>Servi</t>
        </is>
      </c>
      <c r="J66" s="2" t="inlineStr">
        <is>
          <t>Bjørn</t>
        </is>
      </c>
      <c r="K66" s="2" t="inlineStr">
        <is>
          <t>High</t>
        </is>
      </c>
      <c r="L66" s="2" t="inlineStr">
        <is>
          <t>Open</t>
        </is>
      </c>
      <c r="M66" s="2" t="inlineStr">
        <is>
          <t>2026-10-21</t>
        </is>
      </c>
      <c r="N66" s="2" t="inlineStr"/>
      <c r="O66" s="2" t="inlineStr"/>
    </row>
    <row r="67">
      <c r="A67" s="2" t="inlineStr">
        <is>
          <t>OUT-06</t>
        </is>
      </c>
      <c r="B67" s="2" t="inlineStr">
        <is>
          <t>Outlet</t>
        </is>
      </c>
      <c r="C67" s="2" t="inlineStr">
        <is>
          <t>Both</t>
        </is>
      </c>
      <c r="D67" s="2" t="inlineStr">
        <is>
          <t>Decision</t>
        </is>
      </c>
      <c r="E67" s="2" t="inlineStr">
        <is>
          <t>Hydraulic pump control authority</t>
        </is>
      </c>
      <c r="F67" s="2" t="inlineStr">
        <is>
          <t>Pump is DOL (start/reset DO, StarterFault DI, no running feedback). Local start/stop panel offered by Servi but not ordered. Local vs PLC authority; hard-wired low-oil stop?</t>
        </is>
      </c>
      <c r="G67" s="2" t="inlineStr">
        <is>
          <t>Servi mail 2026-10-01; OutletControl.HydraulicPumpControl</t>
        </is>
      </c>
      <c r="H67" s="2" t="inlineStr"/>
      <c r="I67" s="2" t="inlineStr">
        <is>
          <t>Internal / Servi</t>
        </is>
      </c>
      <c r="J67" s="2" t="inlineStr">
        <is>
          <t>Bjørn</t>
        </is>
      </c>
      <c r="K67" s="2" t="inlineStr">
        <is>
          <t>Medium</t>
        </is>
      </c>
      <c r="L67" s="2" t="inlineStr">
        <is>
          <t>Open</t>
        </is>
      </c>
      <c r="M67" s="2" t="inlineStr">
        <is>
          <t>2026-10-21</t>
        </is>
      </c>
      <c r="N67" s="2" t="inlineStr"/>
      <c r="O67" s="2" t="inlineStr"/>
    </row>
    <row r="68">
      <c r="A68" s="2" t="inlineStr">
        <is>
          <t>OUT-07</t>
        </is>
      </c>
      <c r="B68" s="2" t="inlineStr">
        <is>
          <t>Outlet</t>
        </is>
      </c>
      <c r="C68" s="2" t="inlineStr">
        <is>
          <t>Software</t>
        </is>
      </c>
      <c r="D68" s="2" t="inlineStr">
        <is>
          <t>Code bug</t>
        </is>
      </c>
      <c r="E68" s="2" t="inlineStr">
        <is>
          <t>Pump not stopped on oil tank fault</t>
        </is>
      </c>
      <c r="F68" s="2" t="inlineStr">
        <is>
          <t>PLC only alarms on HydraulicOilTankFault (low level / 70 °C); pump start not gated.</t>
        </is>
      </c>
      <c r="G68" s="2" t="inlineStr">
        <is>
          <t>OutletControl.HydraulicPumpControl</t>
        </is>
      </c>
      <c r="H68" s="2" t="inlineStr"/>
      <c r="I68" s="2" t="inlineStr">
        <is>
          <t>Internal</t>
        </is>
      </c>
      <c r="J68" s="2" t="inlineStr">
        <is>
          <t>Bjørn</t>
        </is>
      </c>
      <c r="K68" s="2" t="inlineStr">
        <is>
          <t>Medium</t>
        </is>
      </c>
      <c r="L68" s="2" t="inlineStr">
        <is>
          <t>Open</t>
        </is>
      </c>
      <c r="M68" s="2" t="inlineStr">
        <is>
          <t>2026-10-21</t>
        </is>
      </c>
      <c r="N68" s="2" t="inlineStr"/>
      <c r="O68" s="2" t="inlineStr"/>
    </row>
    <row r="69">
      <c r="A69" s="2" t="inlineStr">
        <is>
          <t>OUT-08</t>
        </is>
      </c>
      <c r="B69" s="2" t="inlineStr">
        <is>
          <t>Outlet</t>
        </is>
      </c>
      <c r="C69" s="2" t="inlineStr">
        <is>
          <t>Software</t>
        </is>
      </c>
      <c r="D69" s="2" t="inlineStr">
        <is>
          <t>PLC gap</t>
        </is>
      </c>
      <c r="E69" s="2" t="inlineStr">
        <is>
          <t>Outlet E-stop and other alarms</t>
        </is>
      </c>
      <c r="F69" s="2" t="inlineStr">
        <is>
          <t>No E-stop alarm (ES61 in alarm list); no filter, pump overload or power-loss alarms.</t>
        </is>
      </c>
      <c r="G69" s="2" t="inlineStr">
        <is>
          <t>FD-02 alarm list; OutletControl.AlarmHandling</t>
        </is>
      </c>
      <c r="H69" s="2" t="inlineStr"/>
      <c r="I69" s="2" t="inlineStr">
        <is>
          <t>Internal</t>
        </is>
      </c>
      <c r="J69" s="2" t="inlineStr">
        <is>
          <t>Bjørn</t>
        </is>
      </c>
      <c r="K69" s="2" t="inlineStr">
        <is>
          <t>Medium</t>
        </is>
      </c>
      <c r="L69" s="2" t="inlineStr">
        <is>
          <t>Open</t>
        </is>
      </c>
      <c r="M69" s="2" t="inlineStr">
        <is>
          <t>2026-10-21</t>
        </is>
      </c>
      <c r="N69" s="2" t="inlineStr"/>
      <c r="O69" s="2" t="inlineStr"/>
    </row>
    <row r="70">
      <c r="A70" s="2" t="inlineStr">
        <is>
          <t>OUT-09</t>
        </is>
      </c>
      <c r="B70" s="2" t="inlineStr">
        <is>
          <t>Outlet</t>
        </is>
      </c>
      <c r="C70" s="2" t="inlineStr">
        <is>
          <t>Physical</t>
        </is>
      </c>
      <c r="D70" s="2" t="inlineStr">
        <is>
          <t>Inconsistency</t>
        </is>
      </c>
      <c r="E70" s="2" t="inlineStr">
        <is>
          <t>Flow meter signal type</t>
        </is>
      </c>
      <c r="F70" s="2" t="inlineStr">
        <is>
          <t>JB overview sheet labels FT1-4 '24VDC 4-20MA'; sheet A2 says pulse. PLC assumes pulse (750-638).</t>
        </is>
      </c>
      <c r="G70" s="2" t="inlineStr">
        <is>
          <t>Servi JB 18068</t>
        </is>
      </c>
      <c r="H70" s="2" t="inlineStr">
        <is>
          <t>Servi to correct overview sheet</t>
        </is>
      </c>
      <c r="I70" s="2" t="inlineStr">
        <is>
          <t>Servi</t>
        </is>
      </c>
      <c r="J70" s="2" t="inlineStr">
        <is>
          <t>Bjørn</t>
        </is>
      </c>
      <c r="K70" s="2" t="inlineStr">
        <is>
          <t>Medium</t>
        </is>
      </c>
      <c r="L70" s="2" t="inlineStr">
        <is>
          <t>Open</t>
        </is>
      </c>
      <c r="M70" s="2" t="inlineStr">
        <is>
          <t>2026-10-21</t>
        </is>
      </c>
      <c r="N70" s="2" t="inlineStr"/>
      <c r="O70" s="2" t="inlineStr"/>
    </row>
    <row r="71">
      <c r="A71" s="2" t="inlineStr">
        <is>
          <t>OUT-10</t>
        </is>
      </c>
      <c r="B71" s="2" t="inlineStr">
        <is>
          <t>Outlet</t>
        </is>
      </c>
      <c r="C71" s="2" t="inlineStr">
        <is>
          <t>Software</t>
        </is>
      </c>
      <c r="D71" s="2" t="inlineStr">
        <is>
          <t>Code bug</t>
        </is>
      </c>
      <c r="E71" s="2" t="inlineStr">
        <is>
          <t>Mode openings look reversed</t>
        </is>
      </c>
      <c r="F71" s="2" t="inlineStr">
        <is>
          <t>OutletConfig.ModePosition default [20,30,40,50] % gives O-35 (34 000 m3/h) the smallest opening and S-75 the largest. FD column 'Spjeld-åpning %' empty.</t>
        </is>
      </c>
      <c r="G71" s="2" t="inlineStr">
        <is>
          <t>ConfigValues OutletConfig; FD Tabell 10</t>
        </is>
      </c>
      <c r="H71" s="2" t="inlineStr"/>
      <c r="I71" s="2" t="inlineStr">
        <is>
          <t>Internal</t>
        </is>
      </c>
      <c r="J71" s="2" t="inlineStr">
        <is>
          <t>Bjørn</t>
        </is>
      </c>
      <c r="K71" s="2" t="inlineStr">
        <is>
          <t>Medium</t>
        </is>
      </c>
      <c r="L71" s="2" t="inlineStr">
        <is>
          <t>Open</t>
        </is>
      </c>
      <c r="M71" s="2" t="inlineStr">
        <is>
          <t>2026-10-21</t>
        </is>
      </c>
      <c r="N71" s="2" t="inlineStr"/>
      <c r="O71" s="2" t="inlineStr"/>
    </row>
    <row r="72">
      <c r="A72" s="2" t="inlineStr">
        <is>
          <t>OUT-11</t>
        </is>
      </c>
      <c r="B72" s="2" t="inlineStr">
        <is>
          <t>Outlet</t>
        </is>
      </c>
      <c r="C72" s="2" t="inlineStr">
        <is>
          <t>Software</t>
        </is>
      </c>
      <c r="D72" s="2" t="inlineStr">
        <is>
          <t>Missing info</t>
        </is>
      </c>
      <c r="E72" s="2" t="inlineStr">
        <is>
          <t>Stroke time and travel limits</t>
        </is>
      </c>
      <c r="F72" s="2" t="inlineStr">
        <is>
          <t>MaxTravelTimeOpen/Close 30 s = assumed stroke time (no margin). Estimate: one cylinder 5-7 s, four sharing the pump 20-26 s. FD 'ca nn s'.</t>
        </is>
      </c>
      <c r="G72" s="2" t="inlineStr">
        <is>
          <t>OutletConfig; design_basis.toml; Servi A1</t>
        </is>
      </c>
      <c r="H72" s="2" t="inlineStr">
        <is>
          <t>Fill in at FAT</t>
        </is>
      </c>
      <c r="I72" s="2" t="inlineStr">
        <is>
          <t>Servi</t>
        </is>
      </c>
      <c r="J72" s="2" t="inlineStr">
        <is>
          <t>Bjørn</t>
        </is>
      </c>
      <c r="K72" s="2" t="inlineStr">
        <is>
          <t>Medium</t>
        </is>
      </c>
      <c r="L72" s="2" t="inlineStr">
        <is>
          <t>Open</t>
        </is>
      </c>
      <c r="M72" s="2" t="inlineStr">
        <is>
          <t>2026-10-21</t>
        </is>
      </c>
      <c r="N72" s="2" t="inlineStr"/>
      <c r="O72" s="2" t="inlineStr"/>
    </row>
    <row r="73">
      <c r="A73" s="2" t="inlineStr">
        <is>
          <t>OUT-12</t>
        </is>
      </c>
      <c r="B73" s="2" t="inlineStr">
        <is>
          <t>Outlet</t>
        </is>
      </c>
      <c r="C73" s="2" t="inlineStr">
        <is>
          <t>Physical</t>
        </is>
      </c>
      <c r="D73" s="2" t="inlineStr">
        <is>
          <t>Missing info</t>
        </is>
      </c>
      <c r="E73" s="2" t="inlineStr">
        <is>
          <t>PSL valves driven on/off</t>
        </is>
      </c>
      <c r="F73" s="2" t="inlineStr">
        <is>
          <t>HAWE PSL are proportional; PLC drives them on/off via relays (750-1515). Confirm with Servi (min ~250 mA note, optional speed card) and relay rating.</t>
        </is>
      </c>
      <c r="G73" s="2" t="inlineStr">
        <is>
          <t>Servi A1; CommonRIO output mapping</t>
        </is>
      </c>
      <c r="H73" s="2" t="inlineStr"/>
      <c r="I73" s="2" t="inlineStr">
        <is>
          <t>Servi</t>
        </is>
      </c>
      <c r="J73" s="2" t="inlineStr">
        <is>
          <t>Bjørn</t>
        </is>
      </c>
      <c r="K73" s="2" t="inlineStr">
        <is>
          <t>Medium</t>
        </is>
      </c>
      <c r="L73" s="2" t="inlineStr">
        <is>
          <t>Open</t>
        </is>
      </c>
      <c r="M73" s="2" t="inlineStr">
        <is>
          <t>2026-10-21</t>
        </is>
      </c>
      <c r="N73" s="2" t="inlineStr"/>
      <c r="O73" s="2" t="inlineStr"/>
    </row>
    <row r="74">
      <c r="A74" s="2" t="inlineStr">
        <is>
          <t>OUT-13</t>
        </is>
      </c>
      <c r="B74" s="2" t="inlineStr">
        <is>
          <t>Outlet</t>
        </is>
      </c>
      <c r="C74" s="2" t="inlineStr">
        <is>
          <t>Software</t>
        </is>
      </c>
      <c r="D74" s="2" t="inlineStr">
        <is>
          <t>Missing info</t>
        </is>
      </c>
      <c r="E74" s="2" t="inlineStr">
        <is>
          <t>Outputs on remote I/O comm loss</t>
        </is>
      </c>
      <c r="F74" s="2" t="inlineStr">
        <is>
          <t>FD table empty; 750-1515 watchdog behaviour not set.</t>
        </is>
      </c>
      <c r="G74" s="2" t="inlineStr">
        <is>
          <t>FD §3.2.3</t>
        </is>
      </c>
      <c r="H74" s="2" t="inlineStr"/>
      <c r="I74" s="2" t="inlineStr">
        <is>
          <t>Internal</t>
        </is>
      </c>
      <c r="J74" s="2" t="inlineStr">
        <is>
          <t>Bjørn</t>
        </is>
      </c>
      <c r="K74" s="2" t="inlineStr">
        <is>
          <t>Medium</t>
        </is>
      </c>
      <c r="L74" s="2" t="inlineStr">
        <is>
          <t>Open</t>
        </is>
      </c>
      <c r="M74" s="2" t="inlineStr">
        <is>
          <t>2026-10-21</t>
        </is>
      </c>
      <c r="N74" s="2" t="inlineStr"/>
      <c r="O74" s="2" t="inlineStr"/>
    </row>
    <row r="75">
      <c r="A75" s="2" t="inlineStr">
        <is>
          <t>OUT-14</t>
        </is>
      </c>
      <c r="B75" s="2" t="inlineStr">
        <is>
          <t>Outlet</t>
        </is>
      </c>
      <c r="C75" s="2" t="inlineStr">
        <is>
          <t>Physical</t>
        </is>
      </c>
      <c r="D75" s="2" t="inlineStr">
        <is>
          <t>Missing info</t>
        </is>
      </c>
      <c r="E75" s="2" t="inlineStr">
        <is>
          <t>Shut-off valve XV65</t>
        </is>
      </c>
      <c r="F75" s="2" t="inlineStr">
        <is>
          <t>In FD and PLS action list 6.3 ('Stopp-ventil') but not on Servi A1 or in the PLC. Deferred with the accumulator?</t>
        </is>
      </c>
      <c r="G75" s="2" t="inlineStr">
        <is>
          <t>FD §3.2.3; PLS aksjonsliste 6.3</t>
        </is>
      </c>
      <c r="H75" s="2" t="inlineStr"/>
      <c r="I75" s="2" t="inlineStr">
        <is>
          <t>Internal</t>
        </is>
      </c>
      <c r="J75" s="2" t="inlineStr">
        <is>
          <t>Project</t>
        </is>
      </c>
      <c r="K75" s="2" t="inlineStr">
        <is>
          <t>Low</t>
        </is>
      </c>
      <c r="L75" s="2" t="inlineStr">
        <is>
          <t>Open</t>
        </is>
      </c>
      <c r="M75" s="2" t="inlineStr">
        <is>
          <t>2026-10-21</t>
        </is>
      </c>
      <c r="N75" s="2" t="inlineStr"/>
      <c r="O75" s="2" t="inlineStr"/>
    </row>
    <row r="76">
      <c r="A76" s="2" t="inlineStr">
        <is>
          <t>OUT-15</t>
        </is>
      </c>
      <c r="B76" s="2" t="inlineStr">
        <is>
          <t>Outlet</t>
        </is>
      </c>
      <c r="C76" s="2" t="inlineStr">
        <is>
          <t>Physical</t>
        </is>
      </c>
      <c r="D76" s="2" t="inlineStr">
        <is>
          <t>Inconsistency</t>
        </is>
      </c>
      <c r="E76" s="2" t="inlineStr">
        <is>
          <t>Motor and pressure data</t>
        </is>
      </c>
      <c r="F76" s="2" t="inlineStr">
        <is>
          <t>Motor 1.5 kW 400 V (datasheet, A1) vs &lt;1 kW (Q&amp;A); cable W1M1 'Hydraulic motor 24Vdc'. Relief 150/130 bar (A1) vs 160 bar in simulator, 110 bar (T1). Tank 12 l (A1 part list) vs 10 l; cylinder HRC-N-D vs HCR-C-D; motor starter location (action 91).</t>
        </is>
      </c>
      <c r="G76" s="2" t="inlineStr">
        <is>
          <t>Servi A1, Q&amp;A, JB 18068; design_basis.toml</t>
        </is>
      </c>
      <c r="H76" s="2" t="inlineStr"/>
      <c r="I76" s="2" t="inlineStr">
        <is>
          <t>Servi</t>
        </is>
      </c>
      <c r="J76" s="2" t="inlineStr">
        <is>
          <t>Bjørn</t>
        </is>
      </c>
      <c r="K76" s="2" t="inlineStr">
        <is>
          <t>Low</t>
        </is>
      </c>
      <c r="L76" s="2" t="inlineStr">
        <is>
          <t>Open</t>
        </is>
      </c>
      <c r="M76" s="2" t="inlineStr">
        <is>
          <t>2026-10-21</t>
        </is>
      </c>
      <c r="N76" s="2" t="inlineStr"/>
      <c r="O76" s="2" t="inlineStr"/>
    </row>
    <row r="77">
      <c r="A77" s="2" t="inlineStr">
        <is>
          <t>OUT-16</t>
        </is>
      </c>
      <c r="B77" s="2" t="inlineStr">
        <is>
          <t>Outlet</t>
        </is>
      </c>
      <c r="C77" s="2" t="inlineStr">
        <is>
          <t>Physical</t>
        </is>
      </c>
      <c r="D77" s="2" t="inlineStr">
        <is>
          <t>Missing info</t>
        </is>
      </c>
      <c r="E77" s="2" t="inlineStr">
        <is>
          <t>Counter frequency</t>
        </is>
      </c>
      <c r="F77" s="2" t="inlineStr">
        <is>
          <t>~300 Hz at 3.5 l/min and ~5200 pulses/l; minus stroke of one cylinder pushes 4.7-5.4 l/min through its A-line meter (~410-470 Hz), near the QG100 top and the 750-638 500 Hz limit. Reverse-flow accuracy unknown.</t>
        </is>
      </c>
      <c r="G77" s="2" t="inlineStr">
        <is>
          <t>HySense QG datasheet; 750-638 manual; CAS FD Outlet OI11</t>
        </is>
      </c>
      <c r="H77" s="2" t="inlineStr">
        <is>
          <t>Test at FAT</t>
        </is>
      </c>
      <c r="I77" s="2" t="inlineStr">
        <is>
          <t>Internal</t>
        </is>
      </c>
      <c r="J77" s="2" t="inlineStr">
        <is>
          <t>Bjørn</t>
        </is>
      </c>
      <c r="K77" s="2" t="inlineStr">
        <is>
          <t>Medium</t>
        </is>
      </c>
      <c r="L77" s="2" t="inlineStr">
        <is>
          <t>Open</t>
        </is>
      </c>
      <c r="M77" s="2" t="inlineStr">
        <is>
          <t>2026-10-21</t>
        </is>
      </c>
      <c r="N77" s="2" t="inlineStr"/>
      <c r="O77" s="2" t="inlineStr"/>
    </row>
    <row r="78">
      <c r="A78" s="2" t="inlineStr">
        <is>
          <t>OUT-17</t>
        </is>
      </c>
      <c r="B78" s="2" t="inlineStr">
        <is>
          <t>Outlet</t>
        </is>
      </c>
      <c r="C78" s="2" t="inlineStr">
        <is>
          <t>Physical</t>
        </is>
      </c>
      <c r="D78" s="2" t="inlineStr">
        <is>
          <t>Decision</t>
        </is>
      </c>
      <c r="E78" s="2" t="inlineStr">
        <is>
          <t>Integrated FAT at Østerbø</t>
        </is>
      </c>
      <c r="F78" s="2" t="inlineStr">
        <is>
          <t>Integrated test of our control cabinet with Servi's hydraulic cabinet, end of October: scope, hose lengths, fail-safe and hand pump test.</t>
        </is>
      </c>
      <c r="G78" s="2" t="inlineStr">
        <is>
          <t>Mail Fredrik 2026-10-07</t>
        </is>
      </c>
      <c r="H78" s="2" t="inlineStr"/>
      <c r="I78" s="2" t="inlineStr">
        <is>
          <t>Østerbø / Servi</t>
        </is>
      </c>
      <c r="J78" s="2" t="inlineStr">
        <is>
          <t>Project</t>
        </is>
      </c>
      <c r="K78" s="2" t="inlineStr">
        <is>
          <t>High</t>
        </is>
      </c>
      <c r="L78" s="2" t="inlineStr">
        <is>
          <t>Open</t>
        </is>
      </c>
      <c r="M78" s="2" t="inlineStr">
        <is>
          <t>2026-10-21</t>
        </is>
      </c>
      <c r="N78" s="2" t="inlineStr"/>
      <c r="O78" s="2" t="inlineStr"/>
    </row>
    <row r="79">
      <c r="A79" s="2" t="inlineStr">
        <is>
          <t>OUT-18</t>
        </is>
      </c>
      <c r="B79" s="2" t="inlineStr">
        <is>
          <t>Outlet</t>
        </is>
      </c>
      <c r="C79" s="2" t="inlineStr">
        <is>
          <t>Software</t>
        </is>
      </c>
      <c r="D79" s="2" t="inlineStr">
        <is>
          <t>Code bug</t>
        </is>
      </c>
      <c r="E79" s="2" t="inlineStr">
        <is>
          <t>Close never confirmed without 2nd pressure transmitter</t>
        </is>
      </c>
      <c r="F79" s="2" t="inlineStr">
        <is>
          <t>With MaxPressureClose &gt; 0 on an unwired channel a 0 % setpoint never reaches Closed → travel timeout and fault; with 0 the end-position check is disabled. CalibrateOpen also needs Opened by pressure.</t>
        </is>
      </c>
      <c r="G79" s="2" t="inlineStr">
        <is>
          <t>FB.Outlet.OutletControl; CylinderInputDUT</t>
        </is>
      </c>
      <c r="H79" s="2" t="inlineStr">
        <is>
          <t>Depends on OUT PT decision</t>
        </is>
      </c>
      <c r="I79" s="2" t="inlineStr">
        <is>
          <t>Internal</t>
        </is>
      </c>
      <c r="J79" s="2" t="inlineStr">
        <is>
          <t>Bjørn</t>
        </is>
      </c>
      <c r="K79" s="2" t="inlineStr">
        <is>
          <t>High</t>
        </is>
      </c>
      <c r="L79" s="2" t="inlineStr">
        <is>
          <t>Open</t>
        </is>
      </c>
      <c r="M79" s="2" t="inlineStr">
        <is>
          <t>2026-10-21</t>
        </is>
      </c>
      <c r="N79" s="2" t="inlineStr"/>
      <c r="O79" s="2" t="inlineStr"/>
    </row>
    <row r="80">
      <c r="A80" s="2" t="inlineStr">
        <is>
          <t>OUT-19</t>
        </is>
      </c>
      <c r="B80" s="2" t="inlineStr">
        <is>
          <t>Outlet</t>
        </is>
      </c>
      <c r="C80" s="2" t="inlineStr">
        <is>
          <t>Physical</t>
        </is>
      </c>
      <c r="D80" s="2" t="inlineStr">
        <is>
          <t>Missing hardware</t>
        </is>
      </c>
      <c r="E80" s="2" t="inlineStr">
        <is>
          <t>Hydraulic pump running feedback</t>
        </is>
      </c>
      <c r="F80" s="2" t="inlineStr">
        <is>
          <t>Pump is DOL; PLC has no running feedback (Status.Running = start command). Contactor auxiliary contact available in JB 18068?</t>
        </is>
      </c>
      <c r="G80" s="2" t="inlineStr">
        <is>
          <t>OutletControl.HydraulicPumpControl; Servi JB 18068</t>
        </is>
      </c>
      <c r="H80" s="2" t="inlineStr"/>
      <c r="I80" s="2" t="inlineStr">
        <is>
          <t>Servi</t>
        </is>
      </c>
      <c r="J80" s="2" t="inlineStr">
        <is>
          <t>Bjørn</t>
        </is>
      </c>
      <c r="K80" s="2" t="inlineStr">
        <is>
          <t>Medium</t>
        </is>
      </c>
      <c r="L80" s="2" t="inlineStr">
        <is>
          <t>Open</t>
        </is>
      </c>
      <c r="M80" s="2" t="inlineStr">
        <is>
          <t>2026-10-21</t>
        </is>
      </c>
      <c r="N80" s="2" t="inlineStr"/>
      <c r="O80" s="2" t="inlineStr"/>
    </row>
    <row r="81">
      <c r="A81" s="2" t="inlineStr">
        <is>
          <t>OUT-20</t>
        </is>
      </c>
      <c r="B81" s="2" t="inlineStr">
        <is>
          <t>Outlet</t>
        </is>
      </c>
      <c r="C81" s="2" t="inlineStr">
        <is>
          <t>Software</t>
        </is>
      </c>
      <c r="D81" s="2" t="inlineStr">
        <is>
          <t>Code bug</t>
        </is>
      </c>
      <c r="E81" s="2" t="inlineStr">
        <is>
          <t>End-position pressure limit cannot trip</t>
        </is>
      </c>
      <c r="F81" s="2" t="inlineStr">
        <is>
          <t>Servi A1 port pressure limiters are 100 bar; PLC end-position limit is also 100 bar with strict '&gt;'. Set ~70-80 bar after FAT; align simulator (160 bar).</t>
        </is>
      </c>
      <c r="G81" s="2" t="inlineStr">
        <is>
          <t>CAS FD Outlet OI3; Servi A1; OutletConfig</t>
        </is>
      </c>
      <c r="H81" s="2" t="inlineStr"/>
      <c r="I81" s="2" t="inlineStr">
        <is>
          <t>Internal</t>
        </is>
      </c>
      <c r="J81" s="2" t="inlineStr">
        <is>
          <t>Bjørn</t>
        </is>
      </c>
      <c r="K81" s="2" t="inlineStr">
        <is>
          <t>High</t>
        </is>
      </c>
      <c r="L81" s="2" t="inlineStr">
        <is>
          <t>Open</t>
        </is>
      </c>
      <c r="M81" s="2" t="inlineStr">
        <is>
          <t>2026-10-21</t>
        </is>
      </c>
      <c r="N81" s="2" t="inlineStr"/>
      <c r="O81" s="2" t="inlineStr"/>
    </row>
    <row r="82">
      <c r="A82" s="2" t="inlineStr">
        <is>
          <t>OUT-21</t>
        </is>
      </c>
      <c r="B82" s="2" t="inlineStr">
        <is>
          <t>Outlet</t>
        </is>
      </c>
      <c r="C82" s="2" t="inlineStr">
        <is>
          <t>Software</t>
        </is>
      </c>
      <c r="D82" s="2" t="inlineStr">
        <is>
          <t>Code bug</t>
        </is>
      </c>
      <c r="E82" s="2" t="inlineStr">
        <is>
          <t>Pressure scaling 0-250 bar</t>
        </is>
      </c>
      <c r="F82" s="2" t="inlineStr">
        <is>
          <t>Production pressure scaling must be 0-250 bar; DUT default is 0-10.</t>
        </is>
      </c>
      <c r="G82" s="2" t="inlineStr">
        <is>
          <t>CAS FD Outlet OI4</t>
        </is>
      </c>
      <c r="H82" s="2" t="inlineStr"/>
      <c r="I82" s="2" t="inlineStr">
        <is>
          <t>Internal</t>
        </is>
      </c>
      <c r="J82" s="2" t="inlineStr">
        <is>
          <t>Bjørn</t>
        </is>
      </c>
      <c r="K82" s="2" t="inlineStr">
        <is>
          <t>Medium</t>
        </is>
      </c>
      <c r="L82" s="2" t="inlineStr">
        <is>
          <t>Open</t>
        </is>
      </c>
      <c r="M82" s="2" t="inlineStr">
        <is>
          <t>2026-10-21</t>
        </is>
      </c>
      <c r="N82" s="2" t="inlineStr"/>
      <c r="O82" s="2" t="inlineStr"/>
    </row>
    <row r="83">
      <c r="A83" s="2" t="inlineStr">
        <is>
          <t>OUT-22</t>
        </is>
      </c>
      <c r="B83" s="2" t="inlineStr">
        <is>
          <t>Outlet</t>
        </is>
      </c>
      <c r="C83" s="2" t="inlineStr">
        <is>
          <t>Software</t>
        </is>
      </c>
      <c r="D83" s="2" t="inlineStr">
        <is>
          <t>Code bug</t>
        </is>
      </c>
      <c r="E83" s="2" t="inlineStr">
        <is>
          <t>Default span treated as calibrated</t>
        </is>
      </c>
      <c r="F83" s="2" t="inlineStr">
        <is>
          <t>Default span 0-2000 counts counts as calibrated; calibration must be a commissioning step. FaultReset unused.</t>
        </is>
      </c>
      <c r="G83" s="2" t="inlineStr">
        <is>
          <t>CAS FD Outlet OI15</t>
        </is>
      </c>
      <c r="H83" s="2" t="inlineStr"/>
      <c r="I83" s="2" t="inlineStr">
        <is>
          <t>Internal</t>
        </is>
      </c>
      <c r="J83" s="2" t="inlineStr">
        <is>
          <t>Bjørn</t>
        </is>
      </c>
      <c r="K83" s="2" t="inlineStr">
        <is>
          <t>Low</t>
        </is>
      </c>
      <c r="L83" s="2" t="inlineStr">
        <is>
          <t>Open</t>
        </is>
      </c>
      <c r="M83" s="2" t="inlineStr">
        <is>
          <t>2026-10-21</t>
        </is>
      </c>
      <c r="N83" s="2" t="inlineStr"/>
      <c r="O83" s="2" t="inlineStr"/>
    </row>
    <row r="84">
      <c r="A84" s="2" t="inlineStr">
        <is>
          <t>OUT-23</t>
        </is>
      </c>
      <c r="B84" s="2" t="inlineStr">
        <is>
          <t>Outlet</t>
        </is>
      </c>
      <c r="C84" s="2" t="inlineStr">
        <is>
          <t>Both</t>
        </is>
      </c>
      <c r="D84" s="2" t="inlineStr">
        <is>
          <t>Inconsistency</t>
        </is>
      </c>
      <c r="E84" s="2" t="inlineStr">
        <is>
          <t>PLC Reset output has no JB counterpart</t>
        </is>
      </c>
      <c r="F84" s="2" t="inlineStr">
        <is>
          <t>PLC drives a pump Reset output; JB 18068 has no matching input. DI -R1-017 / DO -R1-020 wiring needed.</t>
        </is>
      </c>
      <c r="G84" s="2" t="inlineStr">
        <is>
          <t>CAS FD Outlet OI7; JB 18068</t>
        </is>
      </c>
      <c r="H84" s="2" t="inlineStr"/>
      <c r="I84" s="2" t="inlineStr">
        <is>
          <t>Servi</t>
        </is>
      </c>
      <c r="J84" s="2" t="inlineStr">
        <is>
          <t>Bjørn</t>
        </is>
      </c>
      <c r="K84" s="2" t="inlineStr">
        <is>
          <t>Medium</t>
        </is>
      </c>
      <c r="L84" s="2" t="inlineStr">
        <is>
          <t>Open</t>
        </is>
      </c>
      <c r="M84" s="2" t="inlineStr">
        <is>
          <t>2026-10-21</t>
        </is>
      </c>
      <c r="N84" s="2" t="inlineStr"/>
      <c r="O84" s="2" t="inlineStr"/>
    </row>
    <row r="85">
      <c r="A85" s="2" t="inlineStr">
        <is>
          <t>OUT-24</t>
        </is>
      </c>
      <c r="B85" s="2" t="inlineStr">
        <is>
          <t>Outlet</t>
        </is>
      </c>
      <c r="C85" s="2" t="inlineStr">
        <is>
          <t>Physical</t>
        </is>
      </c>
      <c r="D85" s="2" t="inlineStr">
        <is>
          <t>Missing info</t>
        </is>
      </c>
      <c r="E85" s="2" t="inlineStr">
        <is>
          <t>Manual override procedure (O&amp;M)</t>
        </is>
      </c>
      <c r="F85" s="2" t="inlineStr">
        <is>
          <t>Hand pump and PSL manual levers, plus weekly end-position exercise, to be written into the O&amp;M manual.</t>
        </is>
      </c>
      <c r="G85" s="2" t="inlineStr">
        <is>
          <t>CAS FD Outlet OI17; decision 2026-10-21</t>
        </is>
      </c>
      <c r="H85" s="2" t="inlineStr"/>
      <c r="I85" s="2" t="inlineStr">
        <is>
          <t>Internal</t>
        </is>
      </c>
      <c r="J85" s="2" t="inlineStr">
        <is>
          <t>Project</t>
        </is>
      </c>
      <c r="K85" s="2" t="inlineStr">
        <is>
          <t>Low</t>
        </is>
      </c>
      <c r="L85" s="2" t="inlineStr">
        <is>
          <t>Open</t>
        </is>
      </c>
      <c r="M85" s="2" t="inlineStr">
        <is>
          <t>2026-10-21</t>
        </is>
      </c>
      <c r="N85" s="2" t="inlineStr"/>
      <c r="O85" s="2" t="inlineStr"/>
    </row>
    <row r="86">
      <c r="A86" s="2" t="inlineStr">
        <is>
          <t>OUT-25</t>
        </is>
      </c>
      <c r="B86" s="2" t="inlineStr">
        <is>
          <t>Outlet</t>
        </is>
      </c>
      <c r="C86" s="2" t="inlineStr">
        <is>
          <t>Both</t>
        </is>
      </c>
      <c r="D86" s="2" t="inlineStr">
        <is>
          <t>Missing info</t>
        </is>
      </c>
      <c r="E86" s="2" t="inlineStr">
        <is>
          <t>Position drift limit</t>
        </is>
      </c>
      <c r="F86" s="2" t="inlineStr">
        <is>
          <t>Drift limit of 2 pulses (HOLD in FD) to be verified at FAT.</t>
        </is>
      </c>
      <c r="G86" s="2" t="inlineStr">
        <is>
          <t>CAS FD Outlet OI18</t>
        </is>
      </c>
      <c r="H86" s="2" t="inlineStr"/>
      <c r="I86" s="2" t="inlineStr">
        <is>
          <t>Internal</t>
        </is>
      </c>
      <c r="J86" s="2" t="inlineStr">
        <is>
          <t>Bjørn</t>
        </is>
      </c>
      <c r="K86" s="2" t="inlineStr">
        <is>
          <t>Low</t>
        </is>
      </c>
      <c r="L86" s="2" t="inlineStr">
        <is>
          <t>Open</t>
        </is>
      </c>
      <c r="M86" s="2" t="inlineStr">
        <is>
          <t>2026-10-21</t>
        </is>
      </c>
      <c r="N86" s="2" t="inlineStr"/>
      <c r="O86" s="2" t="inlineStr"/>
    </row>
    <row r="87">
      <c r="A87" s="2" t="inlineStr">
        <is>
          <t>OX-28</t>
        </is>
      </c>
      <c r="B87" s="2" t="inlineStr">
        <is>
          <t>Oxygen</t>
        </is>
      </c>
      <c r="C87" s="2" t="inlineStr">
        <is>
          <t>Software</t>
        </is>
      </c>
      <c r="D87" s="2" t="inlineStr">
        <is>
          <t>Code bug</t>
        </is>
      </c>
      <c r="E87" s="2" t="inlineStr">
        <is>
          <t>RIO link loss freezes oxygen line sensors</t>
        </is>
      </c>
      <c r="F87" s="2" t="inlineStr">
        <is>
          <t>Same as IN-19 on the oxygen side: PT41-43 / PT44-46 (InletRIO) and FT41-43, PT40 (CommonRIO) keep their last value and good quality when the RIO link is lost, so PIC4n, the valve permit I4 and FIC4n run on frozen values.</t>
        </is>
      </c>
      <c r="G87" s="2" t="inlineStr">
        <is>
          <t>IN-19; FB.RIO.InletRIO / CommonRIO InputMapping; FB.OxySystem.OxyControl</t>
        </is>
      </c>
      <c r="H87" s="2" t="inlineStr">
        <is>
          <t>Mark the line's sensors BadQuality on RIO comm loss (as IN-19): PIC on preset speed, valve closed, line out of auto</t>
        </is>
      </c>
      <c r="I87" s="2" t="inlineStr">
        <is>
          <t>Internal</t>
        </is>
      </c>
      <c r="J87" s="2" t="inlineStr">
        <is>
          <t>Sigurd</t>
        </is>
      </c>
      <c r="K87" s="2" t="inlineStr">
        <is>
          <t>High</t>
        </is>
      </c>
      <c r="L87" s="2" t="inlineStr">
        <is>
          <t>Open</t>
        </is>
      </c>
      <c r="M87" s="2" t="inlineStr">
        <is>
          <t>2026-10-22</t>
        </is>
      </c>
      <c r="N87" s="2" t="n"/>
      <c r="O87" s="2" t="n"/>
    </row>
    <row r="88">
      <c r="A88" s="2" t="inlineStr">
        <is>
          <t>OX-29</t>
        </is>
      </c>
      <c r="B88" s="2" t="inlineStr">
        <is>
          <t>Oxygen</t>
        </is>
      </c>
      <c r="C88" s="2" t="inlineStr">
        <is>
          <t>Software</t>
        </is>
      </c>
      <c r="D88" s="2" t="inlineStr">
        <is>
          <t>Code bug</t>
        </is>
      </c>
      <c r="E88" s="2" t="inlineStr">
        <is>
          <t>O2 control valve outputs always 0 (CommonRIO mapping)</t>
        </is>
      </c>
      <c r="F88" s="2" t="inlineStr">
        <is>
          <t>CommonRIO.OutputMapping wrote OutputData[20..22] (750-563, valves OV41-43) from OxySystem[i].Output.OxyControlValve.Output.RawPosition, which nothing writes; OxyControl writes OxySystem[i].OxyValve. The valves stayed at 4 mA (closed) whatever FIC asked; found in the live test 2026-10-22 (simulator valve_pct 0 while FIC opened 63 %, flow 0).</t>
        </is>
      </c>
      <c r="G88" s="2" t="inlineStr">
        <is>
          <t>FB.RIO.CommonRIO.OutputMapping</t>
        </is>
      </c>
      <c r="H88" s="2" t="inlineStr">
        <is>
          <t>Map words 20-22 from OxySystem[i].OxyValve.Output.RawPosition</t>
        </is>
      </c>
      <c r="I88" s="2" t="inlineStr">
        <is>
          <t>Internal</t>
        </is>
      </c>
      <c r="J88" s="2" t="inlineStr">
        <is>
          <t>Sigurd</t>
        </is>
      </c>
      <c r="K88" s="2" t="inlineStr">
        <is>
          <t>High</t>
        </is>
      </c>
      <c r="L88" s="2" t="inlineStr">
        <is>
          <t>Fixed</t>
        </is>
      </c>
      <c r="M88" s="2" t="inlineStr">
        <is>
          <t>2026-10-22</t>
        </is>
      </c>
      <c r="N88" s="2" t="inlineStr">
        <is>
          <t>Fixed in CODESYS 2026-10-22 (online change, to be pushed): OutputData[20..22] := OxySystem[i].OxyValve.Output.RawPosition. Unused OxySystemOutputDUT removed. Confirmed 2026-10-26: lines 2 and 3 deliver 103.6 kg/h with the valves at 99 %, pen O2 rising (5.0 mg/L); line 1 after the IN-33 recovery 41 kg/h and rising.</t>
        </is>
      </c>
      <c r="O88" s="2" t="inlineStr">
        <is>
          <t>2026-10-22</t>
        </is>
      </c>
    </row>
    <row r="89">
      <c r="A89" s="2" t="inlineStr">
        <is>
          <t>IN-31</t>
        </is>
      </c>
      <c r="B89" s="2" t="inlineStr">
        <is>
          <t>Inlet</t>
        </is>
      </c>
      <c r="C89" s="2" t="inlineStr">
        <is>
          <t>Software</t>
        </is>
      </c>
      <c r="D89" s="2" t="inlineStr">
        <is>
          <t>Observation</t>
        </is>
      </c>
      <c r="E89" s="2" t="inlineStr">
        <is>
          <t>Level swing during pump rotation</t>
        </is>
      </c>
      <c r="F89" s="2" t="inlineStr">
        <is>
          <t>Live test 2026-10-22: during a rotation handover the over-height moved 5.1-7.1 cm (setpoint 6 cm). The starting pump runs at its own START preset speed (~87 rpm) while the others give way, and the stopping pump's ramp-down follows.</t>
        </is>
      </c>
      <c r="G89" s="2" t="inlineStr">
        <is>
          <t>InletSupervisor.PumpCount; CAS FD Inlet sec. 3.4</t>
        </is>
      </c>
      <c r="H89" s="2" t="inlineStr">
        <is>
          <t>Accept; or soften: start the standby only when the share is near the START preset speed, or wait until the stopping pump has left level control</t>
        </is>
      </c>
      <c r="I89" s="2" t="inlineStr">
        <is>
          <t>Internal</t>
        </is>
      </c>
      <c r="J89" s="2" t="inlineStr">
        <is>
          <t>Sigurd</t>
        </is>
      </c>
      <c r="K89" s="2" t="inlineStr">
        <is>
          <t>Low</t>
        </is>
      </c>
      <c r="L89" s="2" t="inlineStr">
        <is>
          <t>Open</t>
        </is>
      </c>
      <c r="M89" s="2" t="inlineStr">
        <is>
          <t>2026-10-22</t>
        </is>
      </c>
      <c r="N89" s="2" t="n"/>
      <c r="O89" s="2" t="n"/>
    </row>
    <row r="90">
      <c r="A90" s="2" t="inlineStr">
        <is>
          <t>IN-32</t>
        </is>
      </c>
      <c r="B90" s="2" t="inlineStr">
        <is>
          <t>Inlet</t>
        </is>
      </c>
      <c r="C90" s="2" t="inlineStr">
        <is>
          <t>Software</t>
        </is>
      </c>
      <c r="D90" s="2" t="inlineStr">
        <is>
          <t>Code bug</t>
        </is>
      </c>
      <c r="E90" s="2" t="inlineStr">
        <is>
          <t>LIC01 operator auto/manual not bumpless</t>
        </is>
      </c>
      <c r="F90" s="2" t="inlineStr">
        <is>
          <t>Seen on the HMI Inlet control page 2026-10-23: putting LIC01 in manual made the pumps jump to 40 rpm. In manual the output is LevelController.Command.ManualOutput x N, and ManualOutput is only written by the operator (0 if never set, limited to MinOutput 40 rpm). PIDController copies Output to ManualOutput on the manual edge, but only into its own input for that one scan.</t>
        </is>
      </c>
      <c r="G90" s="2" t="inlineStr">
        <is>
          <t>FB.Inlet.InletSupervisor; FB.Components.PIDController; CAS FD Inlet sec. 3.3</t>
        </is>
      </c>
      <c r="H90" s="2" t="inlineStr">
        <is>
          <t>Auto -&gt; manual: ManualOutput := current output per pump. Manual -&gt; auto: setpoint := PV, PID restart with cleared integral (user, 2026-10-23)</t>
        </is>
      </c>
      <c r="I90" s="2" t="inlineStr">
        <is>
          <t>Internal</t>
        </is>
      </c>
      <c r="J90" s="2" t="inlineStr">
        <is>
          <t>Sigurd</t>
        </is>
      </c>
      <c r="K90" s="2" t="inlineStr">
        <is>
          <t>Medium</t>
        </is>
      </c>
      <c r="L90" s="2" t="inlineStr">
        <is>
          <t>Fixed</t>
        </is>
      </c>
      <c r="M90" s="2" t="inlineStr">
        <is>
          <t>2026-10-23</t>
        </is>
      </c>
      <c r="N90" s="2" t="inlineStr">
        <is>
          <t>Fixed in CODESYS 2026-10-23 (FB.Inlet.InletSupervisor), on the operator edge of LevelController.Status.Manual, only while the pen is started with pumps in level control and not on the first scan after a download: auto -&gt; manual sets Command.ManualOutput := LIMIT(MinOutput, Output.OUT / N, MaxOutput), the current output per pump; manual -&gt; auto sets Pen.Command.LevelSetpoint := PenStatus.OverHeight (if LevelControlOK), before the LevelControl call, so PIDController restarts Util.PID with RESET (integral cleared) and Y_OFFSET = the manual output (e = 0). Dead lines removed in FB.Components.PIDController (ManualOutput := Output on the manual edge wrote its own input for one scan). Checked against Util 3.5.22.0 PID documentation; PIDController now limits Y_MANUAL to OutputMin..OutputMax (Util.PID does not limit Y in manual; live test 2026-10-23 on the old build showed OUT = 0 in manual). Live test 2026-10-23 before the download of this change: rig ran the old build (auto -&gt; manual gave OUT 0, pumps to 40 rpm; SP unchanged on manual -&gt; auto). Pre-compile of PFC200_Sim clean; download and test on the rig pending. CAS FD Inlet rev. B1. | Live test 2026-10-23 on the new build (PFC200 10.1.2.41, inletControl, CAS plant 2.4.8 at 10.1.2.150): auto -&gt; manual at 6.08 cm: ManualOutput set to 73.90 rpm (= 221.69 total / 3), pumps 74.01 -&gt; 73.90 rpm, no step, level held 6.0 cm. Manual 80 rpm raised the level to 7.58 cm; manual -&gt; auto: SP 6.00 -&gt; 7.59 cm (= PV), total 240.00 -&gt; 239.93 rpm, held 7.57-7.64 cm. Passed.</t>
        </is>
      </c>
      <c r="O90" s="2" t="inlineStr">
        <is>
          <t>2026-10-23</t>
        </is>
      </c>
    </row>
    <row r="91">
      <c r="A91" s="2" t="inlineStr">
        <is>
          <t>OX-30</t>
        </is>
      </c>
      <c r="B91" s="2" t="inlineStr">
        <is>
          <t>Oxygen</t>
        </is>
      </c>
      <c r="C91" s="2" t="inlineStr">
        <is>
          <t>Software</t>
        </is>
      </c>
      <c r="D91" s="2" t="inlineStr">
        <is>
          <t>Code bug</t>
        </is>
      </c>
      <c r="E91" s="2" t="inlineStr">
        <is>
          <t>OIC01 auto -&gt; manual not bumpless</t>
        </is>
      </c>
      <c r="F91" s="2" t="inlineStr">
        <is>
          <t>Same as IN-32 on the oxygen side: in manual OIC01 outputs OxyController.Command.ManualOutput [kg/h total], written only by the operator. If never set it is 0: switching OIC01 to manual stops the O2 flow to the pen.</t>
        </is>
      </c>
      <c r="G91" s="2" t="inlineStr">
        <is>
          <t>FB.Inlet.InletSupervisor (OIC01); IN-32</t>
        </is>
      </c>
      <c r="H91" s="2" t="inlineStr">
        <is>
          <t>On the auto -&gt; manual edge set ManualOutput := current output (and SP := PV on manual -&gt; auto, as LIC01)</t>
        </is>
      </c>
      <c r="I91" s="2" t="inlineStr">
        <is>
          <t>Internal</t>
        </is>
      </c>
      <c r="J91" s="2" t="inlineStr">
        <is>
          <t>Sigurd</t>
        </is>
      </c>
      <c r="K91" s="2" t="inlineStr">
        <is>
          <t>Medium</t>
        </is>
      </c>
      <c r="L91" s="2" t="inlineStr">
        <is>
          <t>Fixed</t>
        </is>
      </c>
      <c r="M91" s="2" t="inlineStr">
        <is>
          <t>2026-10-23</t>
        </is>
      </c>
      <c r="N91" s="2" t="inlineStr">
        <is>
          <t>Fixed in CODESYS 2026-10-23 (FB.Inlet.InletSupervisor), as LIC01 (IN-32), on the operator edge of OxyController.Status.Manual, only while the pen is started with lines in auto and not on the first scan after a download: auto -&gt; manual sets Command.ManualOutput := MAX(0, Output.OUT), the current total O2 flow; manual -&gt; auto sets PenConfig.OxySetpoint := PenStatus.PenOxygenLevel (if OxyControlOK), before the OxyControl call, so PIDController restarts with RESET (integral cleared) and Y_OFFSET = the manual output. Pre-compile of PFC200_Sim clean; download and test on the rig pending. CAS FD Oxygen rev. A2. | Live test 2026-10-23 (same rig): auto -&gt; manual while OIC01 ramped: ManualOutput 26.00 kg/h = output at the edge, line flows continued 7.6 -&gt; 8.6 kg/h without a step. Manual -&gt; auto: O2 setpoint 8.00 -&gt; 2.26 mg/L (= pen O2), output continued from 26.00 kg/h. Passed; setpoint set back to 8.0. Seen: after the PLC download the three ATV650 drives were in EtHF (LFT 150, comm interrupt while enabled) and needed a fault reset before oxygenation could start.</t>
        </is>
      </c>
      <c r="O91" s="2" t="inlineStr">
        <is>
          <t>2026-10-23</t>
        </is>
      </c>
    </row>
    <row r="92">
      <c r="A92" s="2" t="inlineStr">
        <is>
          <t>IN-33</t>
        </is>
      </c>
      <c r="B92" s="2" t="inlineStr">
        <is>
          <t>Inlet</t>
        </is>
      </c>
      <c r="C92" s="2" t="inlineStr">
        <is>
          <t>Software</t>
        </is>
      </c>
      <c r="D92" s="2" t="inlineStr">
        <is>
          <t>Code bug</t>
        </is>
      </c>
      <c r="E92" s="2" t="inlineStr">
        <is>
          <t>LIC01 resume after HOLD drops the returning pump</t>
        </is>
      </c>
      <c r="F92" s="2" t="inlineStr">
        <is>
          <t>Live test 2026-10-23 (sim update to 2.4.9 restarted the Framo servers: heartbeat lost, all pumps HOLD). Pumps 1-2 back in REMOTE, then pump 3 reset HOLD -&gt; REMOTE: all three pumps fell to the low 40s rpm and the over-height dropped (6 -&gt; about 3.3 cm) before LIC01 recovered. Cause: the resume cycle sums the speed of the pumps with Status.EnableLevelControl, but InletSupervisor runs before InletControl in Main, so the pump just back in REMOTE is not in level control yet; the resume total is that of the other two (about 2 x 74 rpm), and on the next scan it is shared by three (about 49 rpm each).</t>
        </is>
      </c>
      <c r="G92" s="2" t="inlineStr">
        <is>
          <t>FB.Inlet.InletSupervisor (LevelResume, LevelResumeSpeed); PRG.Main call order</t>
        </is>
      </c>
      <c r="H92" s="2" t="inlineStr">
        <is>
          <t>Include pumps in auto and REMOTE (they count for level control from the next scan) in the resume sum and its limits</t>
        </is>
      </c>
      <c r="I92" s="2" t="inlineStr">
        <is>
          <t>Internal</t>
        </is>
      </c>
      <c r="J92" s="2" t="inlineStr">
        <is>
          <t>Sigurd</t>
        </is>
      </c>
      <c r="K92" s="2" t="inlineStr">
        <is>
          <t>High</t>
        </is>
      </c>
      <c r="L92" s="2" t="inlineStr">
        <is>
          <t>Fixed</t>
        </is>
      </c>
      <c r="M92" s="2" t="inlineStr">
        <is>
          <t>2026-10-23</t>
        </is>
      </c>
      <c r="N92" s="2" t="inlineStr">
        <is>
          <t>Fixed in CODESYS 2026-10-23 (FB.Inlet.InletSupervisor): the resume sum and the sharing loop (LevelPumps, RemotePumps, FixedSpeed, so also LevelN and the output limits) count a pump that is in auto and in REMOTE even before InletControl sets its EnableLevelControl (NOT Status.Manual AND State = Remote). Only differs in the scan a pump comes HOLD -&gt; REMOTE. Pre-compile of PFC200_Sim clean; download and test on the rig pending (reset one pump from HOLD while the others are in REMOTE). CAS FD Inlet rev. B1. | Live test 2026-10-23 of the first fix: heartbeat of pump 3 lost (simulator fault): PLC UNAVAILABLE, PCC HOLD at 88 rpm, LIC01 frozen at 221.95 total (pumps 1-2 at 73.98 rpm), as designed. Link back: the freeze ended at once (state read other than HOLD for a cycle), LIC01 ran on pumps 1-2 (2 x 69 rpm) with pump 3 still in HOLD. Reset of pump 3 then dropped the share 67.9 -&gt; 45.3 rpm (all pumps to about 51 rpm, level 6.4 -&gt; 4.6 cm): first fix incomplete. Second fix (CODESYS 2026-10-23): a pump in auto that joins level control straight in REMOTE (NOT EnableLevelControl, auto, REMOTE, pen started, no freeze) triggers LevelResume, so LIC01 restarts from the summed actual speed including it. Pre-compile clean; load and retest pending. | Replaced 2026-10-23 by the split of InletSupervisor (GEN-04): rules R1/R2 instead of tracking, freeze and resume. A pump in HOLD or with its link lost counts in LIC01's total at its own (last) speed and the pumps in REMOTE keep controlling (user decision: the three PCCs do not know each other's state, DEC9 in CAS FD Inlet); a reset from HOLD only evens out the speeds. Pump states read directly in InletPumpSet, so no one-scan lag. Pre-compile of PFC200_Sim clean; load and live test pending.</t>
        </is>
      </c>
      <c r="O92" s="2" t="inlineStr">
        <is>
          <t>2026-10-23</t>
        </is>
      </c>
    </row>
    <row r="93">
      <c r="A93" s="2" t="inlineStr">
        <is>
          <t>GEN-04</t>
        </is>
      </c>
      <c r="B93" s="2" t="inlineStr">
        <is>
          <t>General</t>
        </is>
      </c>
      <c r="C93" s="2" t="inlineStr">
        <is>
          <t>Software</t>
        </is>
      </c>
      <c r="D93" s="2" t="inlineStr">
        <is>
          <t>Decision</t>
        </is>
      </c>
      <c r="E93" s="2" t="inlineStr">
        <is>
          <t>InletSupervisor split into function blocks</t>
        </is>
      </c>
      <c r="F93" s="2" t="inlineStr">
        <is>
          <t>InletSupervisor had grown to about 700 lines with five jobs and many state flags. Split after Cooling, Software Engineering for Real-Time Systems (2020) sec. 4.2 and 7.3.7 (one function per module, data coupling by value, explicit states, fixed execution order).</t>
        </is>
      </c>
      <c r="G93" s="2" t="inlineStr">
        <is>
          <t>FB.Inlet.InletSupervisor, InletPumpSet, PenLevelControl, PumpCount, PenOxygenControl, PenSequence; FB.Components.ControllerMode; ENUM.LevelControlMode; CAS FD Inlet B1, CAS FD Oxygen A2, CAS program design</t>
        </is>
      </c>
      <c r="H93" s="2" t="inlineStr">
        <is>
          <t>Split the FB; keep the interface</t>
        </is>
      </c>
      <c r="I93" s="2" t="inlineStr">
        <is>
          <t>Internal</t>
        </is>
      </c>
      <c r="J93" s="2" t="inlineStr">
        <is>
          <t>Sigurd</t>
        </is>
      </c>
      <c r="K93" s="2" t="inlineStr">
        <is>
          <t>Medium</t>
        </is>
      </c>
      <c r="L93" s="2" t="inlineStr">
        <is>
          <t>Fixed</t>
        </is>
      </c>
      <c r="M93" s="2" t="inlineStr">
        <is>
          <t>2026-10-23</t>
        </is>
      </c>
      <c r="N93" s="2" t="inlineStr">
        <is>
          <t>Done in CODESYS 2026-10-23: InletSupervisor (about 80 lines) calls InletPumpSet (pumps counted / controlled), PenLevelControl (LIC01, mode enum Idle/Manual/SafeOutput/Tracking/Auto), PumpCount (unchanged logic), PenOxygenControl (OIC01, unchanged), PenSequence (pen statechart, called last: one-cycle delay for the others) in a fixed order; ControllerMode (one instance per loop) does the bumpless operator transfers. Same interface: Main, GVLMain and the HMI unchanged. Manual output of LIC01 is now per pump in REMOTE. IN-nn and FD references removed from code comments. Pre-compile of PFC200_Sim clean; load and live tests pending (start from drained, operator auto/manual, one pump HOLD and back, all links lost, trip, rotation, OIC01).</t>
        </is>
      </c>
      <c r="O93" s="2" t="inlineStr">
        <is>
          <t>2026-10-23</t>
        </is>
      </c>
    </row>
    <row r="94">
      <c r="A94" s="2" t="inlineStr">
        <is>
          <t>IN-34</t>
        </is>
      </c>
      <c r="B94" s="2" t="inlineStr">
        <is>
          <t>Inlet</t>
        </is>
      </c>
      <c r="C94" s="2" t="inlineStr">
        <is>
          <t>Both</t>
        </is>
      </c>
      <c r="D94" s="2" t="inlineStr">
        <is>
          <t>Inconsistency</t>
        </is>
      </c>
      <c r="E94" s="2" t="inlineStr">
        <is>
          <t>Framo SCD 7664-017-1 vs the PLC interface</t>
        </is>
      </c>
      <c r="F94" s="2" t="inlineStr">
        <is>
          <t>First official Framo document (SCD 7664-017-1, IEC PAS 63131, drawn 24.07.2026, checked 05.08.2026, rev -). Differs from what the PLC implements (Framo spec rev B): 1) no pump state machine, only status bits (drive ready / running / in remote / tripped / start inhibit, starting sequence active, ready to remote); 2) heartbeat loss stops the pump (no HOLD); 3) a separate REMOTE CONTROL command (UY-012) from CAS is needed before CAS sets the speed, else 40 rpm; 4) a new INHIBIT START (M01-Q03) from CAS; 5) start at 40 rpm for 30 s (PLC and simulator assume about 87 rpm and a short START); 6) alarm set differs (earth leakage, short circuit, STO, stall, power unit loss, overspeed, phase loss, comm fault; no E-stop, motor temperature, UPS, emergency run, low/high power, pump stopped); 7) no OPC UA node list (TBA).</t>
        </is>
      </c>
      <c r="G94" s="2" t="inlineStr">
        <is>
          <t>Framo 7664-017-1 SCD; 7664-021-1 P&amp;ID; PRG.FramoDataProcessing; FB.Inlet.InletControl; CAS FD Inlet sec. 3.5</t>
        </is>
      </c>
      <c r="H94" s="2" t="inlineStr">
        <is>
          <t>Ask Framo for the OPC UA signal list and the state model; decide HOLD vs stop on heartbeat loss; add REMOTE CONTROL and INHIBIT START to the PLC</t>
        </is>
      </c>
      <c r="I94" s="2" t="inlineStr">
        <is>
          <t>Framo</t>
        </is>
      </c>
      <c r="J94" s="2" t="inlineStr">
        <is>
          <t>Sigurd</t>
        </is>
      </c>
      <c r="K94" s="2" t="inlineStr">
        <is>
          <t>High</t>
        </is>
      </c>
      <c r="L94" s="2" t="inlineStr">
        <is>
          <t>Open</t>
        </is>
      </c>
      <c r="M94" s="2" t="inlineStr">
        <is>
          <t>2026-10-23</t>
        </is>
      </c>
      <c r="N94" s="2" t="inlineStr">
        <is>
          <t>Framo P&amp;ID 7664-021-1 (08.09.26, received 2026-10-23): P&amp;ID: no instruments on the pumps (only VSD per pump over Ethernet); no E-stop shown. The P&amp;ID draws a client datalink from PDIC-01 straight to the three VSDs, while the SCD sends the speed setpoint through the Framo UCP (M01-U56): to clear with Framo. Client-scope parts of the P&amp;ID (oxygen, outlet, level measurement) are out of date and not used. | Details split out 2026-10-23: IN-35 (Remote control / speed setpoint mode), IN-36 (start/stop pulse or level, restart after heartbeat loss), IN-37 (speed setpoint path P&amp;ID vs SCD), IN-38 (tags and evacuation signals).</t>
        </is>
      </c>
      <c r="O94" s="2" t="n"/>
    </row>
    <row r="95">
      <c r="A95" s="2" t="inlineStr">
        <is>
          <t>IN-35</t>
        </is>
      </c>
      <c r="B95" s="2" t="inlineStr">
        <is>
          <t>Inlet</t>
        </is>
      </c>
      <c r="C95" s="2" t="inlineStr">
        <is>
          <t>Both</t>
        </is>
      </c>
      <c r="D95" s="2" t="inlineStr">
        <is>
          <t>Inconsistency</t>
        </is>
      </c>
      <c r="E95" s="2" t="inlineStr">
        <is>
          <t>SCD: speed setpoint mode (Remote control, LA / LM)</t>
        </is>
      </c>
      <c r="F95" s="2" t="inlineStr">
        <is>
          <t>SCD 7664-017-1 sheet 3: SPEED SETPOINT TO DRIVE (M01-U56, CAS/HA) has X = 40 rpm start setpoint, LA = REMOTE CONTROL (UY-012, CAS/HB command from CAS) and LM = NOT READY TO REMOTE CNTRL (UI-013, TRUE until 30 s after drive running). In the HA template Auto = follow X, Manual = operator (CAS) value; read that way, Remote control gives 40 rpm and "not ready" gives the CAS setpoint, the opposite of the intent (rev B spec: fixed speed during start, CAS speed in remote). The PLC does not send a Remote control command today.</t>
        </is>
      </c>
      <c r="G95" s="2" t="inlineStr">
        <is>
          <t>Framo 7664-017-1 sheet 3; PRG.FramoDataProcessing</t>
        </is>
      </c>
      <c r="H95" s="2" t="inlineStr">
        <is>
          <t>Framo to confirm: is UY-012 a command from CAS or set by their logic; which mode gives 40 rpm and which the CAS setpoint (LA / LM swapped?); level or pulse; what happens if Remote control drops while running</t>
        </is>
      </c>
      <c r="I95" s="2" t="inlineStr">
        <is>
          <t>Framo</t>
        </is>
      </c>
      <c r="J95" s="2" t="inlineStr">
        <is>
          <t>Sigurd</t>
        </is>
      </c>
      <c r="K95" s="2" t="inlineStr">
        <is>
          <t>High</t>
        </is>
      </c>
      <c r="L95" s="2" t="inlineStr">
        <is>
          <t>Open</t>
        </is>
      </c>
      <c r="M95" s="2" t="inlineStr">
        <is>
          <t>2026-10-23</t>
        </is>
      </c>
      <c r="N95" s="2" t="n"/>
      <c r="O95" s="2" t="n"/>
    </row>
    <row r="96">
      <c r="A96" s="2" t="inlineStr">
        <is>
          <t>IN-36</t>
        </is>
      </c>
      <c r="B96" s="2" t="inlineStr">
        <is>
          <t>Inlet</t>
        </is>
      </c>
      <c r="C96" s="2" t="inlineStr">
        <is>
          <t>Both</t>
        </is>
      </c>
      <c r="D96" s="2" t="inlineStr">
        <is>
          <t>Missing info</t>
        </is>
      </c>
      <c r="E96" s="2" t="inlineStr">
        <is>
          <t>SCD: start / stop pulse or level, restart after heartbeat loss</t>
        </is>
      </c>
      <c r="F96" s="2" t="inlineStr">
        <is>
          <t>SCD sheet 2: HMI START sets a memory (SR, reset dominant), HMI STOP or heartbeat fault resets it; pump block M01 (SBE) has XH = start, XL = stop and latches. So a pulse is enough. The PLC writes Framo_n.Start.Active / Stop.Active as levels (Start held while the PLC wants the pump started and it is AVAILABLE). Consequence: after a heartbeat loss Framo stops the pump; when the link is back the PLC sees AVAILABLE with its start request still active and sends Start again, so the pump restarts by itself.</t>
        </is>
      </c>
      <c r="G96" s="2" t="inlineStr">
        <is>
          <t>Framo 7664-017-1 sheets 2-3; FB.Inlet.InletControl; PRG.FramoDataProcessing; IN-28</t>
        </is>
      </c>
      <c r="H96" s="2" t="inlineStr">
        <is>
          <t>Framo to confirm edge or level on XH / XL and what they expect from CAS; decide whether a pump stopped by heartbeat loss may restart automatically when the link is back</t>
        </is>
      </c>
      <c r="I96" s="2" t="inlineStr">
        <is>
          <t>Framo / Internal</t>
        </is>
      </c>
      <c r="J96" s="2" t="inlineStr">
        <is>
          <t>Sigurd</t>
        </is>
      </c>
      <c r="K96" s="2" t="inlineStr">
        <is>
          <t>High</t>
        </is>
      </c>
      <c r="L96" s="2" t="inlineStr">
        <is>
          <t>Open</t>
        </is>
      </c>
      <c r="M96" s="2" t="inlineStr">
        <is>
          <t>2026-10-23</t>
        </is>
      </c>
      <c r="N96" s="2" t="n"/>
      <c r="O96" s="2" t="n"/>
    </row>
    <row r="97">
      <c r="A97" s="2" t="inlineStr">
        <is>
          <t>IN-37</t>
        </is>
      </c>
      <c r="B97" s="2" t="inlineStr">
        <is>
          <t>Inlet</t>
        </is>
      </c>
      <c r="C97" s="2" t="inlineStr">
        <is>
          <t>Both</t>
        </is>
      </c>
      <c r="D97" s="2" t="inlineStr">
        <is>
          <t>Inconsistency</t>
        </is>
      </c>
      <c r="E97" s="2" t="inlineStr">
        <is>
          <t>Speed setpoint path: P&amp;ID vs SCD</t>
        </is>
      </c>
      <c r="F97" s="2" t="inlineStr">
        <is>
          <t>P&amp;ID 7664-021-1 draws a client datalink (Ethernet) from PDIC-01 straight to the three VSDs; SCD 7664-017-1 sends the speed setpoint through the Framo UCP (M01-U56) with Remote control and start setpoint logic. The PLC writes Framo_n.SpeedSetpoint over OPC UA to the Framo controller.</t>
        </is>
      </c>
      <c r="G97" s="2" t="inlineStr">
        <is>
          <t>Framo 7664-021-1; Framo 7664-017-1 sheet 3; PRG.FramoDataProcessing</t>
        </is>
      </c>
      <c r="H97" s="2" t="inlineStr">
        <is>
          <t>Framo to confirm the speed setpoint goes CAS -&gt; Framo UCP -&gt; VSD (as the SCD), and correct the P&amp;ID</t>
        </is>
      </c>
      <c r="I97" s="2" t="inlineStr">
        <is>
          <t>Framo</t>
        </is>
      </c>
      <c r="J97" s="2" t="inlineStr">
        <is>
          <t>Sigurd</t>
        </is>
      </c>
      <c r="K97" s="2" t="inlineStr">
        <is>
          <t>Medium</t>
        </is>
      </c>
      <c r="L97" s="2" t="inlineStr">
        <is>
          <t>Open</t>
        </is>
      </c>
      <c r="M97" s="2" t="inlineStr">
        <is>
          <t>2026-10-23</t>
        </is>
      </c>
      <c r="N97" s="2" t="n"/>
      <c r="O97" s="2" t="n"/>
    </row>
    <row r="98">
      <c r="A98" s="2" t="inlineStr">
        <is>
          <t>IN-38</t>
        </is>
      </c>
      <c r="B98" s="2" t="inlineStr">
        <is>
          <t>Inlet</t>
        </is>
      </c>
      <c r="C98" s="2" t="inlineStr">
        <is>
          <t>Physical</t>
        </is>
      </c>
      <c r="D98" s="2" t="inlineStr">
        <is>
          <t>Inconsistency</t>
        </is>
      </c>
      <c r="E98" s="2" t="inlineStr">
        <is>
          <t>Framo P&amp;ID / SCD tags and evacuation signals</t>
        </is>
      </c>
      <c r="F98" s="2" t="inlineStr">
        <is>
          <t>P&amp;ID 7664-021-1: release valve of unit A tagged UY-004B (unit B and C: UY-004B, UY-004C; SCD: UY-004A). Valve position switches ZSO / ZSC on the P&amp;ID, ZSL / ZSH on the SCD. No compressed-air pressure transmitter on the P&amp;ID or SCD, but the PLC reads Framo_n.PressureCompressedAir. Two limit switches per valve on the P&amp;ID, one status bit per valve in the PLC (StatusV001 / V002). All evacuation signals go to the Framo UCP only. No E-stop on either document.</t>
        </is>
      </c>
      <c r="G98" s="2" t="inlineStr">
        <is>
          <t>Framo 7664-021-1; Framo 7664-017-1 sheet 2; PRG.FramoDataProcessing; IN-12, IN-16</t>
        </is>
      </c>
      <c r="H98" s="2" t="inlineStr">
        <is>
          <t>Framo to correct the tag of unit A and give the OPC UA signals for the evacuation (valve positions, level switches, any air pressure); adapt the PLC to the final list</t>
        </is>
      </c>
      <c r="I98" s="2" t="inlineStr">
        <is>
          <t>Framo</t>
        </is>
      </c>
      <c r="J98" s="2" t="inlineStr">
        <is>
          <t>Sigurd</t>
        </is>
      </c>
      <c r="K98" s="2" t="inlineStr">
        <is>
          <t>Low</t>
        </is>
      </c>
      <c r="L98" s="2" t="inlineStr">
        <is>
          <t>Open</t>
        </is>
      </c>
      <c r="M98" s="2" t="inlineStr">
        <is>
          <t>2026-10-23</t>
        </is>
      </c>
      <c r="N98" s="2" t="n"/>
      <c r="O98" s="2" t="n"/>
    </row>
    <row r="99">
      <c r="A99" s="2" t="inlineStr">
        <is>
          <t>IN-32</t>
        </is>
      </c>
      <c r="B99" s="2" t="inlineStr">
        <is>
          <t>Inlet</t>
        </is>
      </c>
      <c r="C99" s="2" t="inlineStr">
        <is>
          <t>Physical</t>
        </is>
      </c>
      <c r="D99" s="2" t="inlineStr">
        <is>
          <t>Inconsistency</t>
        </is>
      </c>
      <c r="E99" s="2" t="inlineStr">
        <is>
          <t>Level transmitter span too small for Hs 2.0 m</t>
        </is>
      </c>
      <c r="F99" s="2" t="inlineStr">
        <is>
          <t>The 750-455 level signals span 0-2 m. The transmitters hang on the floater, so each reading moves with the wave minus the heave: at Hs 2.0 m / Tp 4.5 s (design basis wave model) sigma 53.5 cm inside (LT0x) and 40.5 cm outside (LT2x), about +-2.1 m / +-1.6 m in a 3 h storm (4 sigma). Clipped crests bias the mean: sim 2026-10-26 at Hs 2.0 m the PLC read over-height -3 cm while the true value was +20-23 cm, LIC01 ran the pumps to max and the pen overfilled.</t>
        </is>
      </c>
      <c r="G99" s="2" t="inlineStr">
        <is>
          <t>design_basis.toml [waves], [instruments.level_span]; casdesign.waves WaveField.hs(); IN-24</t>
        </is>
      </c>
      <c r="H99" s="2" t="inlineStr">
        <is>
          <t>Span 0-5 m inside (normal level ~2.5 m), 0-4 m outside (normal ~2.0 m); minimum 4.3 / 3.3 m (4 sigma). 750-455 resolution 2.4 / 2.0 mm per step (quantization dithered by the waves, filtered PV much finer); or a 16-bit AI module; or a stilling well. PLC: treat readings at the span limits as suspect (drop the pair). Heave / slosh parameters are assumptions: measure on the prototype.</t>
        </is>
      </c>
      <c r="I99" s="2" t="inlineStr">
        <is>
          <t>Project</t>
        </is>
      </c>
      <c r="J99" s="2" t="inlineStr">
        <is>
          <t>Sigurd</t>
        </is>
      </c>
      <c r="K99" s="2" t="inlineStr">
        <is>
          <t>High</t>
        </is>
      </c>
      <c r="L99" s="2" t="inlineStr">
        <is>
          <t>Open</t>
        </is>
      </c>
      <c r="M99" s="2" t="inlineStr">
        <is>
          <t>2026-10-26</t>
        </is>
      </c>
      <c r="N99" s="2" t="n"/>
      <c r="O99" s="2" t="n"/>
    </row>
    <row r="100">
      <c r="A100" s="2" t="inlineStr">
        <is>
          <t>IN-33</t>
        </is>
      </c>
      <c r="B100" s="2" t="inlineStr">
        <is>
          <t>Inlet</t>
        </is>
      </c>
      <c r="C100" s="2" t="inlineStr">
        <is>
          <t>Software</t>
        </is>
      </c>
      <c r="D100" s="2" t="inlineStr">
        <is>
          <t>Code bug</t>
        </is>
      </c>
      <c r="E100" s="2" t="inlineStr">
        <is>
          <t>RIO / drive link frozen while CommOK stays TRUE</t>
        </is>
      </c>
      <c r="F100" s="2" t="inlineStr">
        <is>
          <t>Sim 2026-10-26: InletRIO 1 and its oxy pump drive stopped updating (raw level and PT words constant for minutes while the simulator's words moved with the waves) but SCL.sModbusMasterTCP.comOk stayed TRUE, so InletRIO.Status.CommOK and OxyPump.Status.CommunicationOK were TRUE and InputMapping kept the last values. Effects: level pair 1 frozen at -38 cm (wrong LIC01 PV, IN-19 fix not triggered), oxy pump 1 shown running at 40.9 Hz / 4 bar while the drive had tripped on EtHF (comm interrupt), no O2 on line 1, no alarm. Probably since the simulator pod restart. Recovered by toggling InletRIOConfig[0].Enabled / DriveEnabled, then OxyPump Reset.</t>
        </is>
      </c>
      <c r="G100" s="2" t="inlineStr">
        <is>
          <t>FB.RIO.InletRIO (Status.CommOK := RioMaster.comOk); SCL.sModbusMasterTCP; OX-28, IN-19</t>
        </is>
      </c>
      <c r="H100" s="2" t="inlineStr">
        <is>
          <t>Data-freshness watchdog per master: the library's request/response counter or last-response time if it has one, else a value that must change (e.g. 750-362 / ATV status or a counter) -&gt; CommOK FALSE + alarm after a timeout, and restart the master (enable FALSE/TRUE). Check the same for CommonRIO. Ask ScaleAQ library owner how comOk is defined.</t>
        </is>
      </c>
      <c r="I100" s="2" t="inlineStr">
        <is>
          <t>Internal</t>
        </is>
      </c>
      <c r="J100" s="2" t="inlineStr">
        <is>
          <t>Sigurd</t>
        </is>
      </c>
      <c r="K100" s="2" t="inlineStr">
        <is>
          <t>High</t>
        </is>
      </c>
      <c r="L100" s="2" t="inlineStr">
        <is>
          <t>Open</t>
        </is>
      </c>
      <c r="M100" s="2" t="inlineStr">
        <is>
          <t>2026-10-26</t>
        </is>
      </c>
      <c r="N100" s="2" t="n"/>
      <c r="O100" s="2" t="n"/>
    </row>
  </sheetData>
  <autoFilter ref="A1:O100"/>
  <conditionalFormatting sqref="A2:O500">
    <cfRule type="expression" priority="1" dxfId="0" stopIfTrue="1">
      <formula>$L2="Fixed"</formula>
    </cfRule>
  </conditionalFormatting>
  <conditionalFormatting sqref="K2:K500">
    <cfRule type="cellIs" priority="2" operator="equal" dxfId="1">
      <formula>"High"</formula>
    </cfRule>
    <cfRule type="cellIs" priority="3" operator="equal" dxfId="2">
      <formula>"Medium"</formula>
    </cfRule>
    <cfRule type="cellIs" priority="4" operator="equal" dxfId="3">
      <formula>"Low"</formula>
    </cfRule>
  </conditionalFormatting>
  <conditionalFormatting sqref="L2:L500">
    <cfRule type="cellIs" priority="5" operator="equal" dxfId="0">
      <formula>"Decided"</formula>
    </cfRule>
    <cfRule type="cellIs" priority="6" operator="equal" dxfId="4">
      <formula>"Closed"</formula>
    </cfRule>
  </conditionalFormatting>
  <dataValidations count="5">
    <dataValidation sqref="B2:B500" showDropDown="0" showInputMessage="0" showErrorMessage="0" allowBlank="1" type="list">
      <formula1>"General,Inlet,Oxygen,Outlet"</formula1>
    </dataValidation>
    <dataValidation sqref="C2:C500" showDropDown="0" showInputMessage="0" showErrorMessage="0" allowBlank="1" type="list">
      <formula1>"Physical,Software,Both"</formula1>
    </dataValidation>
    <dataValidation sqref="D2:D500" showDropDown="0" showInputMessage="0" showErrorMessage="0" allowBlank="1" type="list">
      <formula1>"Decision,Inconsistency,Missing info,Missing hardware,Code bug,PLC gap"</formula1>
    </dataValidation>
    <dataValidation sqref="K2:K500" showDropDown="0" showInputMessage="0" showErrorMessage="0" allowBlank="1" type="list">
      <formula1>"High,Medium,Low"</formula1>
    </dataValidation>
    <dataValidation sqref="L2:L500" showDropDown="0" showInputMessage="0" showErrorMessage="0" allowBlank="1" type="list">
      <formula1>"Open,In progress,Decided,Fixed,Closed"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2" customWidth="1" min="5" max="5"/>
    <col width="10" customWidth="1" min="6" max="6"/>
    <col width="10" customWidth="1" min="7" max="7"/>
    <col width="10" customWidth="1" min="8" max="8"/>
  </cols>
  <sheetData>
    <row r="1">
      <c r="A1" s="3" t="inlineStr">
        <is>
          <t>Open items by system and priority (counts update from the register)</t>
        </is>
      </c>
    </row>
    <row r="3">
      <c r="A3" s="4" t="inlineStr">
        <is>
          <t>System</t>
        </is>
      </c>
      <c r="B3" s="4" t="inlineStr">
        <is>
          <t>High</t>
        </is>
      </c>
      <c r="C3" s="4" t="inlineStr">
        <is>
          <t>Medium</t>
        </is>
      </c>
      <c r="D3" s="4" t="inlineStr">
        <is>
          <t>Low</t>
        </is>
      </c>
      <c r="E3" s="4" t="inlineStr">
        <is>
          <t>Open total</t>
        </is>
      </c>
      <c r="F3" s="4" t="inlineStr">
        <is>
          <t>Decided</t>
        </is>
      </c>
      <c r="G3" s="4" t="inlineStr">
        <is>
          <t>Fixed</t>
        </is>
      </c>
      <c r="H3" s="4" t="inlineStr">
        <is>
          <t>All items</t>
        </is>
      </c>
    </row>
    <row r="4">
      <c r="A4" s="5" t="inlineStr">
        <is>
          <t>General</t>
        </is>
      </c>
      <c r="B4" s="5">
        <f>COUNTIFS('Outstanding items'!$B:$B,$A4,'Outstanding items'!$K:$K,"High",'Outstanding items'!$L:$L,"Open")</f>
        <v/>
      </c>
      <c r="C4" s="5">
        <f>COUNTIFS('Outstanding items'!$B:$B,$A4,'Outstanding items'!$K:$K,"Medium",'Outstanding items'!$L:$L,"Open")</f>
        <v/>
      </c>
      <c r="D4" s="5">
        <f>COUNTIFS('Outstanding items'!$B:$B,$A4,'Outstanding items'!$K:$K,"Low",'Outstanding items'!$L:$L,"Open")</f>
        <v/>
      </c>
      <c r="E4" s="5">
        <f>COUNTIFS('Outstanding items'!$B:$B,$A4,'Outstanding items'!$L:$L,"Open")</f>
        <v/>
      </c>
      <c r="F4" s="5">
        <f>COUNTIFS('Outstanding items'!$B:$B,$A4,'Outstanding items'!$L:$L,"Decided")</f>
        <v/>
      </c>
      <c r="G4" s="5">
        <f>COUNTIFS('Outstanding items'!$B:$B,$A4,'Outstanding items'!$L:$L,"Fixed")</f>
        <v/>
      </c>
      <c r="H4" s="5">
        <f>COUNTIFS('Outstanding items'!$B:$B,$A4)</f>
        <v/>
      </c>
    </row>
    <row r="5">
      <c r="A5" s="5" t="inlineStr">
        <is>
          <t>Inlet</t>
        </is>
      </c>
      <c r="B5" s="5">
        <f>COUNTIFS('Outstanding items'!$B:$B,$A5,'Outstanding items'!$K:$K,"High",'Outstanding items'!$L:$L,"Open")</f>
        <v/>
      </c>
      <c r="C5" s="5">
        <f>COUNTIFS('Outstanding items'!$B:$B,$A5,'Outstanding items'!$K:$K,"Medium",'Outstanding items'!$L:$L,"Open")</f>
        <v/>
      </c>
      <c r="D5" s="5">
        <f>COUNTIFS('Outstanding items'!$B:$B,$A5,'Outstanding items'!$K:$K,"Low",'Outstanding items'!$L:$L,"Open")</f>
        <v/>
      </c>
      <c r="E5" s="5">
        <f>COUNTIFS('Outstanding items'!$B:$B,$A5,'Outstanding items'!$L:$L,"Open")</f>
        <v/>
      </c>
      <c r="F5" s="5">
        <f>COUNTIFS('Outstanding items'!$B:$B,$A5,'Outstanding items'!$L:$L,"Decided")</f>
        <v/>
      </c>
      <c r="G5" s="5">
        <f>COUNTIFS('Outstanding items'!$B:$B,$A5,'Outstanding items'!$L:$L,"Fixed")</f>
        <v/>
      </c>
      <c r="H5" s="5">
        <f>COUNTIFS('Outstanding items'!$B:$B,$A5)</f>
        <v/>
      </c>
    </row>
    <row r="6">
      <c r="A6" s="5" t="inlineStr">
        <is>
          <t>Oxygen</t>
        </is>
      </c>
      <c r="B6" s="5">
        <f>COUNTIFS('Outstanding items'!$B:$B,$A6,'Outstanding items'!$K:$K,"High",'Outstanding items'!$L:$L,"Open")</f>
        <v/>
      </c>
      <c r="C6" s="5">
        <f>COUNTIFS('Outstanding items'!$B:$B,$A6,'Outstanding items'!$K:$K,"Medium",'Outstanding items'!$L:$L,"Open")</f>
        <v/>
      </c>
      <c r="D6" s="5">
        <f>COUNTIFS('Outstanding items'!$B:$B,$A6,'Outstanding items'!$K:$K,"Low",'Outstanding items'!$L:$L,"Open")</f>
        <v/>
      </c>
      <c r="E6" s="5">
        <f>COUNTIFS('Outstanding items'!$B:$B,$A6,'Outstanding items'!$L:$L,"Open")</f>
        <v/>
      </c>
      <c r="F6" s="5">
        <f>COUNTIFS('Outstanding items'!$B:$B,$A6,'Outstanding items'!$L:$L,"Decided")</f>
        <v/>
      </c>
      <c r="G6" s="5">
        <f>COUNTIFS('Outstanding items'!$B:$B,$A6,'Outstanding items'!$L:$L,"Fixed")</f>
        <v/>
      </c>
      <c r="H6" s="5">
        <f>COUNTIFS('Outstanding items'!$B:$B,$A6)</f>
        <v/>
      </c>
    </row>
    <row r="7">
      <c r="A7" s="5" t="inlineStr">
        <is>
          <t>Outlet</t>
        </is>
      </c>
      <c r="B7" s="5">
        <f>COUNTIFS('Outstanding items'!$B:$B,$A7,'Outstanding items'!$K:$K,"High",'Outstanding items'!$L:$L,"Open")</f>
        <v/>
      </c>
      <c r="C7" s="5">
        <f>COUNTIFS('Outstanding items'!$B:$B,$A7,'Outstanding items'!$K:$K,"Medium",'Outstanding items'!$L:$L,"Open")</f>
        <v/>
      </c>
      <c r="D7" s="5">
        <f>COUNTIFS('Outstanding items'!$B:$B,$A7,'Outstanding items'!$K:$K,"Low",'Outstanding items'!$L:$L,"Open")</f>
        <v/>
      </c>
      <c r="E7" s="5">
        <f>COUNTIFS('Outstanding items'!$B:$B,$A7,'Outstanding items'!$L:$L,"Open")</f>
        <v/>
      </c>
      <c r="F7" s="5">
        <f>COUNTIFS('Outstanding items'!$B:$B,$A7,'Outstanding items'!$L:$L,"Decided")</f>
        <v/>
      </c>
      <c r="G7" s="5">
        <f>COUNTIFS('Outstanding items'!$B:$B,$A7,'Outstanding items'!$L:$L,"Fixed")</f>
        <v/>
      </c>
      <c r="H7" s="5">
        <f>COUNTIFS('Outstanding items'!$B:$B,$A7)</f>
        <v/>
      </c>
    </row>
    <row r="8">
      <c r="A8" s="6" t="inlineStr">
        <is>
          <t>Total</t>
        </is>
      </c>
      <c r="B8" s="5">
        <f>SUM(B4:B7)</f>
        <v/>
      </c>
      <c r="C8" s="5">
        <f>SUM(C4:C7)</f>
        <v/>
      </c>
      <c r="D8" s="5">
        <f>SUM(D4:D7)</f>
        <v/>
      </c>
      <c r="E8" s="5">
        <f>SUM(E4:E7)</f>
        <v/>
      </c>
      <c r="F8" s="5">
        <f>SUM(F4:F7)</f>
        <v/>
      </c>
      <c r="G8" s="5">
        <f>SUM(G4:G7)</f>
        <v/>
      </c>
      <c r="H8" s="5">
        <f>SUM(H4:H7)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10" customWidth="1" min="2" max="2"/>
  </cols>
  <sheetData>
    <row r="1">
      <c r="A1" s="3" t="inlineStr">
        <is>
          <t>How to use</t>
        </is>
      </c>
    </row>
    <row r="2">
      <c r="A2" s="7" t="inlineStr">
        <is>
          <t>Add a row</t>
        </is>
      </c>
      <c r="B2" s="8" t="inlineStr">
        <is>
          <t>One row per item. ID = system prefix (GEN/IN/OX/OUT) + next number. Never reuse an ID.</t>
        </is>
      </c>
    </row>
    <row r="3">
      <c r="A3" s="7" t="inlineStr">
        <is>
          <t>Domain</t>
        </is>
      </c>
      <c r="B3" s="8" t="inlineStr">
        <is>
          <t>Physical = equipment, wiring, instruments, supplier hardware; Software = PLC/HMI/simulator code and configuration; Both = needs a physical and a software change.</t>
        </is>
      </c>
    </row>
    <row r="4">
      <c r="A4" s="7" t="inlineStr">
        <is>
          <t>Category</t>
        </is>
      </c>
      <c r="B4" s="8" t="inlineStr">
        <is>
          <t>Decision = someone must choose; Inconsistency = documents/PLC disagree; Missing info = data needed from a supplier or the project; Missing hardware = sensor/actuator/signal not on drawings or not ordered; Code bug = PLC/HMI does something wrong; PLC gap = FD/alarm list requires something the PLC does not do yet.</t>
        </is>
      </c>
    </row>
    <row r="5">
      <c r="A5" s="7" t="inlineStr">
        <is>
          <t>Ask / owner of answer</t>
        </is>
      </c>
      <c r="B5" s="8" t="inlineStr">
        <is>
          <t>Who must answer: Framo, Servi, Østerbø, Normex, Chucaotech, Customer, Internal, Project.</t>
        </is>
      </c>
    </row>
    <row r="6">
      <c r="A6" s="7" t="inlineStr">
        <is>
          <t>Responsible</t>
        </is>
      </c>
      <c r="B6" s="8" t="inlineStr">
        <is>
          <t>Who follows up internally.</t>
        </is>
      </c>
    </row>
    <row r="7">
      <c r="A7" s="7" t="inlineStr">
        <is>
          <t>Status</t>
        </is>
      </c>
      <c r="B7" s="8" t="inlineStr">
        <is>
          <t>Open → In progress → Decided (fill Decision/answer and Decided date) → Fixed (changed in CODESYS / code: whole row green, Decision/answer says what was done and how it was tested) → Closed (verified, docs updated).</t>
        </is>
      </c>
    </row>
    <row r="8">
      <c r="A8" s="7" t="inlineStr">
        <is>
          <t>Priority</t>
        </is>
      </c>
      <c r="B8" s="8" t="inlineStr">
        <is>
          <t>High = blocks FAT, safety or supplier delivery; Medium = needed before commissioning; Low = clean-up.</t>
        </is>
      </c>
    </row>
    <row r="9">
      <c r="A9" s="7" t="inlineStr">
        <is>
          <t>Sources</t>
        </is>
      </c>
      <c r="B9" s="8" t="inlineStr">
        <is>
          <t>Initial content: document/PLC review 2026-10-21 (FD-01 rev B, FD-02 alarm list rev A, Framo spec rev B, Servi drawings A1 and JB 18068, P&amp;ID rev A, PLC heimdall-plc main) and project meeting 2026-10-21.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2026-10-21T11:21:28Z</dcterms:created>
  <dcterms:modified xmlns:dcterms="http://purl.org/dc/terms/" xmlns:xsi="http://www.w3.org/2001/XMLSchema-instance" xsi:type="dcterms:W3CDTF">2026-10-26T08:44:01Z</dcterms:modified>
</cp:coreProperties>
</file>